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21-A-001\Desktop\스메그\4. 데이터\2026\4월\"/>
    </mc:Choice>
  </mc:AlternateContent>
  <bookViews>
    <workbookView xWindow="0" yWindow="0" windowWidth="28800" windowHeight="12165"/>
  </bookViews>
  <sheets>
    <sheet name="29CM FOCUS 운영성과_DA" sheetId="4" r:id="rId1"/>
  </sheets>
  <definedNames>
    <definedName name="_xlnm._FilterDatabase" localSheetId="0" hidden="1">'29CM FOCUS 운영성과_DA'!$A$24:$N$24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3" i="4" l="1"/>
  <c r="L42" i="4"/>
  <c r="L41" i="4"/>
  <c r="L40" i="4"/>
  <c r="L39" i="4"/>
  <c r="L38" i="4"/>
  <c r="L37" i="4"/>
  <c r="I43" i="4"/>
  <c r="I42" i="4"/>
  <c r="I41" i="4"/>
  <c r="I40" i="4"/>
  <c r="I39" i="4"/>
  <c r="I38" i="4"/>
  <c r="I37" i="4"/>
  <c r="H43" i="4"/>
  <c r="H42" i="4"/>
  <c r="H41" i="4"/>
  <c r="H40" i="4"/>
  <c r="H39" i="4"/>
  <c r="H38" i="4"/>
  <c r="H37" i="4"/>
  <c r="N38" i="4"/>
  <c r="N41" i="4"/>
  <c r="L31" i="4"/>
  <c r="L30" i="4"/>
  <c r="L29" i="4"/>
  <c r="L28" i="4"/>
  <c r="L27" i="4"/>
  <c r="K31" i="4"/>
  <c r="K30" i="4"/>
  <c r="K29" i="4"/>
  <c r="K28" i="4"/>
  <c r="K27" i="4"/>
  <c r="H31" i="4"/>
  <c r="H30" i="4"/>
  <c r="H29" i="4"/>
  <c r="H28" i="4"/>
  <c r="H27" i="4"/>
  <c r="G31" i="4"/>
  <c r="G30" i="4"/>
  <c r="G29" i="4"/>
  <c r="G28" i="4"/>
  <c r="G27" i="4"/>
  <c r="C7" i="4" l="1"/>
  <c r="K26" i="4" l="1"/>
  <c r="F44" i="4"/>
  <c r="G44" i="4"/>
  <c r="J44" i="4"/>
  <c r="K44" i="4"/>
  <c r="M44" i="4"/>
  <c r="N43" i="4"/>
  <c r="N42" i="4"/>
  <c r="N40" i="4"/>
  <c r="D75" i="4"/>
  <c r="D74" i="4"/>
  <c r="D73" i="4"/>
  <c r="D72" i="4"/>
  <c r="D71" i="4"/>
  <c r="D70" i="4"/>
  <c r="N39" i="4"/>
  <c r="N37" i="4"/>
  <c r="N36" i="4"/>
  <c r="L36" i="4"/>
  <c r="I36" i="4"/>
  <c r="H36" i="4"/>
  <c r="L26" i="4"/>
  <c r="H26" i="4"/>
  <c r="G26" i="4"/>
  <c r="L25" i="4"/>
  <c r="K25" i="4"/>
  <c r="H25" i="4"/>
  <c r="G25" i="4"/>
  <c r="D5" i="4"/>
  <c r="D6" i="4" s="1"/>
  <c r="N44" i="4" l="1"/>
  <c r="H44" i="4"/>
  <c r="L44" i="4"/>
  <c r="I44" i="4"/>
</calcChain>
</file>

<file path=xl/sharedStrings.xml><?xml version="1.0" encoding="utf-8"?>
<sst xmlns="http://schemas.openxmlformats.org/spreadsheetml/2006/main" count="76" uniqueCount="67">
  <si>
    <t>글자수</t>
    <phoneticPr fontId="1" type="noConversion"/>
  </si>
  <si>
    <t>목표</t>
    <phoneticPr fontId="1" type="noConversion"/>
  </si>
  <si>
    <t>일예산</t>
    <phoneticPr fontId="1" type="noConversion"/>
  </si>
  <si>
    <t>광고문구(20자)</t>
    <phoneticPr fontId="1" type="noConversion"/>
  </si>
  <si>
    <t>설명문구1(12자)</t>
    <phoneticPr fontId="1" type="noConversion"/>
  </si>
  <si>
    <t>설명문구2(12자)</t>
    <phoneticPr fontId="1" type="noConversion"/>
  </si>
  <si>
    <t>설명문구3(12자)</t>
    <phoneticPr fontId="1" type="noConversion"/>
  </si>
  <si>
    <t>PC 배너형 긴 설명문구1(28자)</t>
    <phoneticPr fontId="1" type="noConversion"/>
  </si>
  <si>
    <t>PC 배너형 긴 설명문구2(28자)</t>
    <phoneticPr fontId="1" type="noConversion"/>
  </si>
  <si>
    <t>행동유도</t>
    <phoneticPr fontId="1" type="noConversion"/>
  </si>
  <si>
    <t>이 外 참고사항</t>
    <phoneticPr fontId="1" type="noConversion"/>
  </si>
  <si>
    <t>넾다세일 기간 동안 GFA 애드부스트 일예산 늘려 운영 진행 예정</t>
    <phoneticPr fontId="1" type="noConversion"/>
  </si>
  <si>
    <t>Comment</t>
    <phoneticPr fontId="1" type="noConversion"/>
  </si>
  <si>
    <t>＊광고소재 이미지 구분</t>
    <phoneticPr fontId="1" type="noConversion"/>
  </si>
  <si>
    <t>캠페인</t>
    <phoneticPr fontId="1" type="noConversion"/>
  </si>
  <si>
    <t>광고그룹</t>
    <phoneticPr fontId="1" type="noConversion"/>
  </si>
  <si>
    <t>노출</t>
    <phoneticPr fontId="1" type="noConversion"/>
  </si>
  <si>
    <t>클릭</t>
    <phoneticPr fontId="1" type="noConversion"/>
  </si>
  <si>
    <t>CTR</t>
    <phoneticPr fontId="1" type="noConversion"/>
  </si>
  <si>
    <t>CPC</t>
    <phoneticPr fontId="1" type="noConversion"/>
  </si>
  <si>
    <t>비용(vat+)</t>
    <phoneticPr fontId="1" type="noConversion"/>
  </si>
  <si>
    <t>전환수</t>
    <phoneticPr fontId="1" type="noConversion"/>
  </si>
  <si>
    <t>CVR</t>
    <phoneticPr fontId="1" type="noConversion"/>
  </si>
  <si>
    <t>ROAS</t>
    <phoneticPr fontId="1" type="noConversion"/>
  </si>
  <si>
    <t>기간</t>
    <phoneticPr fontId="1" type="noConversion"/>
  </si>
  <si>
    <t>총합</t>
    <phoneticPr fontId="1" type="noConversion"/>
  </si>
  <si>
    <t>기간</t>
    <phoneticPr fontId="1" type="noConversion"/>
  </si>
  <si>
    <t>예산</t>
    <phoneticPr fontId="1" type="noConversion"/>
  </si>
  <si>
    <t>소재</t>
    <phoneticPr fontId="1" type="noConversion"/>
  </si>
  <si>
    <t>총 비용</t>
  </si>
  <si>
    <t>구매완료 전환 매출액</t>
  </si>
  <si>
    <t>CVR</t>
    <phoneticPr fontId="1" type="noConversion"/>
  </si>
  <si>
    <t>ROAS</t>
    <phoneticPr fontId="1" type="noConversion"/>
  </si>
  <si>
    <t>매출액</t>
    <phoneticPr fontId="1" type="noConversion"/>
  </si>
  <si>
    <t>HM_메타_26년2월PA프로모션_전환</t>
  </si>
  <si>
    <t>HM_메타_GFA_성과소재 디벨롭</t>
  </si>
  <si>
    <t>HM_메타_상시_대형_전환</t>
  </si>
  <si>
    <t>HM_메타_상시_소형_전환</t>
  </si>
  <si>
    <t>HM_메타_상업_카페크롤링_창업_홈베이킹_전환</t>
    <phoneticPr fontId="1" type="noConversion"/>
  </si>
  <si>
    <t xml:space="preserve"> </t>
    <phoneticPr fontId="1" type="noConversion"/>
  </si>
  <si>
    <t>＊META 동기간 캠페인별 데이터 비교</t>
    <phoneticPr fontId="1" type="noConversion"/>
  </si>
  <si>
    <t>(HM)스메그_DA_META협력광고_29cmFOCUS 운영성과_260420</t>
    <phoneticPr fontId="1" type="noConversion"/>
  </si>
  <si>
    <t>META 협력광고 29CM FOCUS 프로모션 기간 전환 목표</t>
    <phoneticPr fontId="1" type="noConversion"/>
  </si>
  <si>
    <t>26.04.13 ~ 26.04.19 (7일)</t>
    <phoneticPr fontId="1" type="noConversion"/>
  </si>
  <si>
    <t>2026.04.13 ~ 2026.04.19</t>
    <phoneticPr fontId="1" type="noConversion"/>
  </si>
  <si>
    <t>HM_메타_29cm_협력광고_전환</t>
  </si>
  <si>
    <t>메타_29cm포커스_협력광고_전환_관심사</t>
    <phoneticPr fontId="1" type="noConversion"/>
  </si>
  <si>
    <t>메타_29cm포커스_협력광고_전환_파트너리타겟</t>
    <phoneticPr fontId="1" type="noConversion"/>
  </si>
  <si>
    <t>260413_메타_29cm포커스_관심사_1</t>
  </si>
  <si>
    <t>260413_메타_29cm포커스_파트너리타겟_1</t>
  </si>
  <si>
    <t>260413_메타_29cm포커스_파트너리타겟_2</t>
  </si>
  <si>
    <t>260413_메타_29cm포커스_파트너리타겟_3</t>
  </si>
  <si>
    <t>260413_메타_29cm포커스_파트너리타겟_4</t>
  </si>
  <si>
    <t>260413_메타_29cm포커스_관심사_1</t>
    <phoneticPr fontId="1" type="noConversion"/>
  </si>
  <si>
    <t>260413_메타_29cm포커스_관심사_3</t>
    <phoneticPr fontId="1" type="noConversion"/>
  </si>
  <si>
    <t xml:space="preserve">           260413_메타_29cm포커스_관심사_3</t>
    <phoneticPr fontId="1" type="noConversion"/>
  </si>
  <si>
    <t xml:space="preserve">      260413_메타_29cm포커스_관심사_2</t>
    <phoneticPr fontId="1" type="noConversion"/>
  </si>
  <si>
    <t>260413_메타_29cm포커스_관심사_4</t>
    <phoneticPr fontId="1" type="noConversion"/>
  </si>
  <si>
    <t>260413_메타_29cm포커스_관심사_4</t>
    <phoneticPr fontId="1" type="noConversion"/>
  </si>
  <si>
    <t xml:space="preserve">           260413_메타_29cm포커스_파트너리타겟_3</t>
  </si>
  <si>
    <t>HM_메타_29cm_협력광고_전환</t>
    <phoneticPr fontId="1" type="noConversion"/>
  </si>
  <si>
    <t>2026.04.13 ~ 2026.04.19</t>
    <phoneticPr fontId="1" type="noConversion"/>
  </si>
  <si>
    <t>HM_메타_올인원터치오븐프로모션_전환</t>
  </si>
  <si>
    <t>260413_메타_29cm포커스_관심사_2</t>
    <phoneticPr fontId="1" type="noConversion"/>
  </si>
  <si>
    <t xml:space="preserve">           260413_메타_29cm포커스_파트너리타겟_2</t>
    <phoneticPr fontId="1" type="noConversion"/>
  </si>
  <si>
    <t>* META_29CM 협력광고 캠페인 內 소재별 성과 데이터</t>
    <phoneticPr fontId="1" type="noConversion"/>
  </si>
  <si>
    <t>- 운영 기간 : 4/13 ~ 4/19 (7일)
- 운영 기간 동안 비용(vat+) 48만원 집행, 노출 4.8만회, 클릭 1736건 발생하며 평균 CTR 3.61%, CPC 278원 기록
- 소재별 성과 확인 시, 관심사 타겟 2번 소재에서 가장 높은 매출 달성, 해당 소재는 기존 ‘스프링 인테리어’ 캠페인에서 성과 가장 좋았던 소재
  L 검증된 소재 재사용 전략이 유효함을 확인하였으며 향후 프로모션에서도 고성과 소재 활용 및 유사한 방향으로 제작 예정
- 파트너리타겟 4번 소재에서 ROAS 2,702%를 기록하며 높은 전환율 확보
  L 관심사 타겟은 CPC가 낮고 CTR이 높아 유입 확장 및 신규 유저 확보에 기여, 파트너 타겟은 CVR 및 ROAS가 높아 실제 구매 전환에 기여
  L 향후 운영 시 파트너 타겟 중심으로 예산 비중을 확대할 예정
- 첫 29CM 협력광고 집행 결과 단기간 내 매출 발생 및 ROAS 효율이 우수했던 점에서 성과 검증 및 확장 가능성이 확인된 캠페인으로 판단됨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</si>
</sst>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 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41" fontId="0" fillId="0" borderId="0" xfId="1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176" fontId="0" fillId="0" borderId="1" xfId="1" applyNumberFormat="1" applyFont="1" applyBorder="1">
      <alignment vertical="center"/>
    </xf>
    <xf numFmtId="41" fontId="0" fillId="0" borderId="1" xfId="1" applyFont="1" applyBorder="1">
      <alignment vertical="center"/>
    </xf>
    <xf numFmtId="0" fontId="0" fillId="0" borderId="0" xfId="0" applyBorder="1">
      <alignment vertical="center"/>
    </xf>
    <xf numFmtId="41" fontId="0" fillId="0" borderId="0" xfId="1" applyFont="1" applyBorder="1">
      <alignment vertical="center"/>
    </xf>
    <xf numFmtId="0" fontId="0" fillId="0" borderId="0" xfId="0" applyAlignment="1">
      <alignment vertical="center"/>
    </xf>
    <xf numFmtId="0" fontId="4" fillId="0" borderId="0" xfId="0" applyFont="1">
      <alignment vertical="center"/>
    </xf>
    <xf numFmtId="3" fontId="0" fillId="0" borderId="1" xfId="0" applyNumberFormat="1" applyBorder="1">
      <alignment vertical="center"/>
    </xf>
    <xf numFmtId="10" fontId="0" fillId="0" borderId="1" xfId="2" applyNumberFormat="1" applyFont="1" applyBorder="1">
      <alignment vertical="center"/>
    </xf>
    <xf numFmtId="41" fontId="0" fillId="0" borderId="1" xfId="0" applyNumberFormat="1" applyBorder="1">
      <alignment vertical="center"/>
    </xf>
    <xf numFmtId="9" fontId="0" fillId="0" borderId="1" xfId="2" applyFont="1" applyBorder="1">
      <alignment vertical="center"/>
    </xf>
    <xf numFmtId="3" fontId="0" fillId="0" borderId="0" xfId="0" applyNumberFormat="1" applyBorder="1">
      <alignment vertical="center"/>
    </xf>
    <xf numFmtId="10" fontId="0" fillId="0" borderId="0" xfId="2" applyNumberFormat="1" applyFont="1" applyBorder="1">
      <alignment vertical="center"/>
    </xf>
    <xf numFmtId="41" fontId="0" fillId="0" borderId="0" xfId="0" applyNumberFormat="1" applyBorder="1">
      <alignment vertical="center"/>
    </xf>
    <xf numFmtId="9" fontId="0" fillId="0" borderId="0" xfId="2" applyFont="1" applyBorder="1">
      <alignment vertical="center"/>
    </xf>
    <xf numFmtId="3" fontId="4" fillId="2" borderId="1" xfId="0" applyNumberFormat="1" applyFont="1" applyFill="1" applyBorder="1">
      <alignment vertical="center"/>
    </xf>
    <xf numFmtId="10" fontId="4" fillId="2" borderId="1" xfId="2" applyNumberFormat="1" applyFont="1" applyFill="1" applyBorder="1">
      <alignment vertical="center"/>
    </xf>
    <xf numFmtId="41" fontId="4" fillId="2" borderId="1" xfId="0" applyNumberFormat="1" applyFont="1" applyFill="1" applyBorder="1">
      <alignment vertical="center"/>
    </xf>
    <xf numFmtId="9" fontId="4" fillId="2" borderId="1" xfId="2" applyFont="1" applyFill="1" applyBorder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5" fillId="0" borderId="0" xfId="0" applyFont="1">
      <alignment vertical="center"/>
    </xf>
    <xf numFmtId="0" fontId="4" fillId="0" borderId="0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1" fontId="0" fillId="0" borderId="1" xfId="1" applyFont="1" applyBorder="1" applyAlignment="1">
      <alignment horizontal="left" vertical="center"/>
    </xf>
    <xf numFmtId="41" fontId="4" fillId="2" borderId="1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3" borderId="1" xfId="0" applyFill="1" applyBorder="1">
      <alignment vertical="center"/>
    </xf>
    <xf numFmtId="3" fontId="0" fillId="3" borderId="1" xfId="0" applyNumberFormat="1" applyFill="1" applyBorder="1">
      <alignment vertical="center"/>
    </xf>
    <xf numFmtId="10" fontId="0" fillId="3" borderId="1" xfId="2" applyNumberFormat="1" applyFont="1" applyFill="1" applyBorder="1">
      <alignment vertical="center"/>
    </xf>
    <xf numFmtId="41" fontId="0" fillId="3" borderId="1" xfId="0" applyNumberFormat="1" applyFill="1" applyBorder="1">
      <alignment vertical="center"/>
    </xf>
    <xf numFmtId="9" fontId="0" fillId="3" borderId="1" xfId="2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41" fontId="4" fillId="3" borderId="1" xfId="1" applyFont="1" applyFill="1" applyBorder="1" applyAlignment="1">
      <alignment horizontal="left" vertical="center"/>
    </xf>
    <xf numFmtId="41" fontId="4" fillId="3" borderId="1" xfId="1" applyFont="1" applyFill="1" applyBorder="1">
      <alignment vertical="center"/>
    </xf>
    <xf numFmtId="10" fontId="4" fillId="3" borderId="1" xfId="2" applyNumberFormat="1" applyFont="1" applyFill="1" applyBorder="1">
      <alignment vertical="center"/>
    </xf>
    <xf numFmtId="9" fontId="4" fillId="3" borderId="1" xfId="2" applyFont="1" applyFill="1" applyBorder="1">
      <alignment vertical="center"/>
    </xf>
    <xf numFmtId="0" fontId="0" fillId="0" borderId="1" xfId="0" applyFill="1" applyBorder="1">
      <alignment vertical="center"/>
    </xf>
    <xf numFmtId="3" fontId="0" fillId="0" borderId="1" xfId="0" applyNumberFormat="1" applyFill="1" applyBorder="1">
      <alignment vertical="center"/>
    </xf>
    <xf numFmtId="10" fontId="0" fillId="0" borderId="1" xfId="2" applyNumberFormat="1" applyFont="1" applyFill="1" applyBorder="1">
      <alignment vertical="center"/>
    </xf>
    <xf numFmtId="41" fontId="0" fillId="0" borderId="1" xfId="0" applyNumberFormat="1" applyFill="1" applyBorder="1">
      <alignment vertical="center"/>
    </xf>
    <xf numFmtId="9" fontId="0" fillId="0" borderId="1" xfId="2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4" xfId="0" quotePrefix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1442358</xdr:colOff>
      <xdr:row>48</xdr:row>
      <xdr:rowOff>13607</xdr:rowOff>
    </xdr:from>
    <xdr:to>
      <xdr:col>2</xdr:col>
      <xdr:colOff>3238502</xdr:colOff>
      <xdr:row>49</xdr:row>
      <xdr:rowOff>40820</xdr:rowOff>
    </xdr:to>
    <xdr:sp macro="" textlink="">
      <xdr:nvSpPr>
        <xdr:cNvPr id="24" name="직사각형 23"/>
        <xdr:cNvSpPr/>
      </xdr:nvSpPr>
      <xdr:spPr>
        <a:xfrm>
          <a:off x="4435929" y="9388928"/>
          <a:ext cx="1796144" cy="32657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>
              <a:solidFill>
                <a:schemeClr val="tx1"/>
              </a:solidFill>
            </a:rPr>
            <a:t>＊ 성과 우수 소재</a:t>
          </a:r>
        </a:p>
      </xdr:txBody>
    </xdr:sp>
    <xdr:clientData/>
  </xdr:twoCellAnchor>
  <xdr:twoCellAnchor editAs="oneCell">
    <xdr:from>
      <xdr:col>4</xdr:col>
      <xdr:colOff>1102500</xdr:colOff>
      <xdr:row>50</xdr:row>
      <xdr:rowOff>321</xdr:rowOff>
    </xdr:from>
    <xdr:to>
      <xdr:col>4</xdr:col>
      <xdr:colOff>3428357</xdr:colOff>
      <xdr:row>61</xdr:row>
      <xdr:rowOff>81000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2179" y="9879107"/>
          <a:ext cx="2325857" cy="2325857"/>
        </a:xfrm>
        <a:prstGeom prst="rect">
          <a:avLst/>
        </a:prstGeom>
      </xdr:spPr>
    </xdr:pic>
    <xdr:clientData/>
  </xdr:twoCellAnchor>
  <xdr:twoCellAnchor editAs="oneCell">
    <xdr:from>
      <xdr:col>3</xdr:col>
      <xdr:colOff>626572</xdr:colOff>
      <xdr:row>49</xdr:row>
      <xdr:rowOff>191143</xdr:rowOff>
    </xdr:from>
    <xdr:to>
      <xdr:col>3</xdr:col>
      <xdr:colOff>2952429</xdr:colOff>
      <xdr:row>61</xdr:row>
      <xdr:rowOff>67715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0179" y="9865822"/>
          <a:ext cx="2325857" cy="2325857"/>
        </a:xfrm>
        <a:prstGeom prst="rect">
          <a:avLst/>
        </a:prstGeom>
      </xdr:spPr>
    </xdr:pic>
    <xdr:clientData/>
  </xdr:twoCellAnchor>
  <xdr:twoCellAnchor editAs="oneCell">
    <xdr:from>
      <xdr:col>2</xdr:col>
      <xdr:colOff>1552179</xdr:colOff>
      <xdr:row>50</xdr:row>
      <xdr:rowOff>965</xdr:rowOff>
    </xdr:from>
    <xdr:to>
      <xdr:col>2</xdr:col>
      <xdr:colOff>3878036</xdr:colOff>
      <xdr:row>61</xdr:row>
      <xdr:rowOff>81644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1143" y="9879751"/>
          <a:ext cx="2325857" cy="2325857"/>
        </a:xfrm>
        <a:prstGeom prst="rect">
          <a:avLst/>
        </a:prstGeom>
      </xdr:spPr>
    </xdr:pic>
    <xdr:clientData/>
  </xdr:twoCellAnchor>
  <xdr:twoCellAnchor editAs="oneCell">
    <xdr:from>
      <xdr:col>4</xdr:col>
      <xdr:colOff>1105222</xdr:colOff>
      <xdr:row>63</xdr:row>
      <xdr:rowOff>30257</xdr:rowOff>
    </xdr:from>
    <xdr:to>
      <xdr:col>4</xdr:col>
      <xdr:colOff>3431079</xdr:colOff>
      <xdr:row>84</xdr:row>
      <xdr:rowOff>110936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79508" y="12562436"/>
          <a:ext cx="2325857" cy="2325857"/>
        </a:xfrm>
        <a:prstGeom prst="rect">
          <a:avLst/>
        </a:prstGeom>
      </xdr:spPr>
    </xdr:pic>
    <xdr:clientData/>
  </xdr:twoCellAnchor>
  <xdr:twoCellAnchor editAs="oneCell">
    <xdr:from>
      <xdr:col>3</xdr:col>
      <xdr:colOff>629294</xdr:colOff>
      <xdr:row>63</xdr:row>
      <xdr:rowOff>16972</xdr:rowOff>
    </xdr:from>
    <xdr:to>
      <xdr:col>3</xdr:col>
      <xdr:colOff>2955151</xdr:colOff>
      <xdr:row>84</xdr:row>
      <xdr:rowOff>97651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7508" y="12549151"/>
          <a:ext cx="2325857" cy="2325857"/>
        </a:xfrm>
        <a:prstGeom prst="rect">
          <a:avLst/>
        </a:prstGeom>
      </xdr:spPr>
    </xdr:pic>
    <xdr:clientData/>
  </xdr:twoCellAnchor>
  <xdr:twoCellAnchor editAs="oneCell">
    <xdr:from>
      <xdr:col>2</xdr:col>
      <xdr:colOff>1554901</xdr:colOff>
      <xdr:row>63</xdr:row>
      <xdr:rowOff>30901</xdr:rowOff>
    </xdr:from>
    <xdr:to>
      <xdr:col>2</xdr:col>
      <xdr:colOff>3880758</xdr:colOff>
      <xdr:row>84</xdr:row>
      <xdr:rowOff>111580</xdr:rowOff>
    </xdr:to>
    <xdr:pic>
      <xdr:nvPicPr>
        <xdr:cNvPr id="17" name="그림 1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8472" y="12563080"/>
          <a:ext cx="2325857" cy="2325857"/>
        </a:xfrm>
        <a:prstGeom prst="rect">
          <a:avLst/>
        </a:prstGeom>
      </xdr:spPr>
    </xdr:pic>
    <xdr:clientData/>
  </xdr:twoCellAnchor>
  <xdr:twoCellAnchor>
    <xdr:from>
      <xdr:col>2</xdr:col>
      <xdr:colOff>1442358</xdr:colOff>
      <xdr:row>49</xdr:row>
      <xdr:rowOff>0</xdr:rowOff>
    </xdr:from>
    <xdr:to>
      <xdr:col>2</xdr:col>
      <xdr:colOff>3973286</xdr:colOff>
      <xdr:row>61</xdr:row>
      <xdr:rowOff>163286</xdr:rowOff>
    </xdr:to>
    <xdr:sp macro="" textlink="">
      <xdr:nvSpPr>
        <xdr:cNvPr id="10" name="직사각형 9"/>
        <xdr:cNvSpPr/>
      </xdr:nvSpPr>
      <xdr:spPr>
        <a:xfrm>
          <a:off x="4435929" y="9674679"/>
          <a:ext cx="2530928" cy="261257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843643</xdr:colOff>
      <xdr:row>61</xdr:row>
      <xdr:rowOff>176893</xdr:rowOff>
    </xdr:from>
    <xdr:to>
      <xdr:col>5</xdr:col>
      <xdr:colOff>62167</xdr:colOff>
      <xdr:row>85</xdr:row>
      <xdr:rowOff>27215</xdr:rowOff>
    </xdr:to>
    <xdr:sp macro="" textlink="">
      <xdr:nvSpPr>
        <xdr:cNvPr id="23" name="직사각형 22"/>
        <xdr:cNvSpPr/>
      </xdr:nvSpPr>
      <xdr:spPr>
        <a:xfrm>
          <a:off x="12817929" y="12300857"/>
          <a:ext cx="2756381" cy="270782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54428</xdr:colOff>
      <xdr:row>50</xdr:row>
      <xdr:rowOff>-1</xdr:rowOff>
    </xdr:from>
    <xdr:to>
      <xdr:col>1</xdr:col>
      <xdr:colOff>2354035</xdr:colOff>
      <xdr:row>61</xdr:row>
      <xdr:rowOff>54428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571" y="9878785"/>
          <a:ext cx="2299607" cy="2299607"/>
        </a:xfrm>
        <a:prstGeom prst="rect">
          <a:avLst/>
        </a:prstGeom>
      </xdr:spPr>
    </xdr:pic>
    <xdr:clientData/>
  </xdr:twoCellAnchor>
  <xdr:twoCellAnchor editAs="oneCell">
    <xdr:from>
      <xdr:col>1</xdr:col>
      <xdr:colOff>43544</xdr:colOff>
      <xdr:row>63</xdr:row>
      <xdr:rowOff>-1</xdr:rowOff>
    </xdr:from>
    <xdr:to>
      <xdr:col>1</xdr:col>
      <xdr:colOff>2343151</xdr:colOff>
      <xdr:row>84</xdr:row>
      <xdr:rowOff>57149</xdr:rowOff>
    </xdr:to>
    <xdr:pic>
      <xdr:nvPicPr>
        <xdr:cNvPr id="25" name="그림 2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687" y="12532178"/>
          <a:ext cx="2299607" cy="2302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78"/>
  <sheetViews>
    <sheetView showGridLines="0" tabSelected="1" zoomScale="70" zoomScaleNormal="70" workbookViewId="0"/>
  </sheetViews>
  <sheetFormatPr defaultRowHeight="16.5" x14ac:dyDescent="0.3"/>
  <cols>
    <col min="1" max="1" width="3.5" customWidth="1"/>
    <col min="2" max="2" width="35.625" customWidth="1"/>
    <col min="3" max="3" width="66.125" customWidth="1"/>
    <col min="4" max="4" width="51.75" bestFit="1" customWidth="1"/>
    <col min="5" max="5" width="46.5" bestFit="1" customWidth="1"/>
    <col min="6" max="6" width="11.75" bestFit="1" customWidth="1"/>
    <col min="7" max="7" width="11.125" bestFit="1" customWidth="1"/>
    <col min="8" max="8" width="10.625" style="1" customWidth="1"/>
    <col min="9" max="9" width="11.375" style="1" bestFit="1" customWidth="1"/>
    <col min="10" max="10" width="22.5" style="1" bestFit="1" customWidth="1"/>
    <col min="11" max="11" width="10.25" style="1" bestFit="1" customWidth="1"/>
    <col min="12" max="12" width="33.5" style="1" bestFit="1" customWidth="1"/>
    <col min="13" max="13" width="11.875" customWidth="1"/>
    <col min="14" max="14" width="8.5" customWidth="1"/>
  </cols>
  <sheetData>
    <row r="2" spans="2:5" ht="17.25" x14ac:dyDescent="0.3">
      <c r="B2" s="27" t="s">
        <v>41</v>
      </c>
    </row>
    <row r="3" spans="2:5" x14ac:dyDescent="0.3">
      <c r="D3" s="3"/>
      <c r="E3" s="3"/>
    </row>
    <row r="4" spans="2:5" x14ac:dyDescent="0.3">
      <c r="B4" s="4" t="s">
        <v>1</v>
      </c>
      <c r="C4" s="4" t="s">
        <v>42</v>
      </c>
      <c r="D4" s="3">
        <v>33333</v>
      </c>
      <c r="E4" s="3"/>
    </row>
    <row r="5" spans="2:5" x14ac:dyDescent="0.3">
      <c r="B5" s="4" t="s">
        <v>26</v>
      </c>
      <c r="C5" s="4" t="s">
        <v>43</v>
      </c>
      <c r="D5" s="3">
        <f>SUM(D3:D4)</f>
        <v>33333</v>
      </c>
      <c r="E5" s="3"/>
    </row>
    <row r="6" spans="2:5" x14ac:dyDescent="0.3">
      <c r="B6" s="4" t="s">
        <v>27</v>
      </c>
      <c r="C6" s="5">
        <v>500000</v>
      </c>
      <c r="D6" s="3">
        <f>D5*11</f>
        <v>366663</v>
      </c>
      <c r="E6" s="3"/>
    </row>
    <row r="7" spans="2:5" x14ac:dyDescent="0.3">
      <c r="B7" s="4" t="s">
        <v>2</v>
      </c>
      <c r="C7" s="6">
        <f>C6/6</f>
        <v>83333.333333333328</v>
      </c>
    </row>
    <row r="8" spans="2:5" hidden="1" x14ac:dyDescent="0.3">
      <c r="B8" s="4" t="s">
        <v>10</v>
      </c>
      <c r="C8" s="6" t="s">
        <v>11</v>
      </c>
    </row>
    <row r="9" spans="2:5" x14ac:dyDescent="0.3">
      <c r="B9" s="7"/>
      <c r="C9" s="8"/>
    </row>
    <row r="10" spans="2:5" x14ac:dyDescent="0.3">
      <c r="B10" s="7"/>
      <c r="C10" s="8"/>
    </row>
    <row r="11" spans="2:5" x14ac:dyDescent="0.3">
      <c r="B11" s="28" t="s">
        <v>12</v>
      </c>
      <c r="C11" s="8"/>
    </row>
    <row r="12" spans="2:5" x14ac:dyDescent="0.3">
      <c r="B12" s="55" t="s">
        <v>66</v>
      </c>
      <c r="C12" s="56"/>
      <c r="D12" s="57"/>
    </row>
    <row r="13" spans="2:5" x14ac:dyDescent="0.3">
      <c r="B13" s="58"/>
      <c r="C13" s="59"/>
      <c r="D13" s="60"/>
    </row>
    <row r="14" spans="2:5" x14ac:dyDescent="0.3">
      <c r="B14" s="58"/>
      <c r="C14" s="59"/>
      <c r="D14" s="60"/>
    </row>
    <row r="15" spans="2:5" x14ac:dyDescent="0.3">
      <c r="B15" s="58"/>
      <c r="C15" s="59"/>
      <c r="D15" s="60"/>
    </row>
    <row r="16" spans="2:5" x14ac:dyDescent="0.3">
      <c r="B16" s="58"/>
      <c r="C16" s="59"/>
      <c r="D16" s="60"/>
    </row>
    <row r="17" spans="2:12" x14ac:dyDescent="0.3">
      <c r="B17" s="58"/>
      <c r="C17" s="59"/>
      <c r="D17" s="60"/>
    </row>
    <row r="18" spans="2:12" x14ac:dyDescent="0.3">
      <c r="B18" s="58"/>
      <c r="C18" s="59"/>
      <c r="D18" s="60"/>
    </row>
    <row r="19" spans="2:12" x14ac:dyDescent="0.3">
      <c r="B19" s="58"/>
      <c r="C19" s="59"/>
      <c r="D19" s="60"/>
    </row>
    <row r="20" spans="2:12" x14ac:dyDescent="0.3">
      <c r="B20" s="61"/>
      <c r="C20" s="62"/>
      <c r="D20" s="63"/>
    </row>
    <row r="21" spans="2:12" x14ac:dyDescent="0.3">
      <c r="B21" s="30" t="s">
        <v>39</v>
      </c>
      <c r="C21" s="30"/>
      <c r="D21" s="30"/>
    </row>
    <row r="22" spans="2:12" x14ac:dyDescent="0.3">
      <c r="B22" s="30"/>
      <c r="C22" s="30"/>
      <c r="D22" s="30"/>
    </row>
    <row r="23" spans="2:12" x14ac:dyDescent="0.3">
      <c r="B23" s="30" t="s">
        <v>40</v>
      </c>
      <c r="C23" s="30"/>
      <c r="D23" s="30"/>
    </row>
    <row r="24" spans="2:12" x14ac:dyDescent="0.3">
      <c r="B24" s="2" t="s">
        <v>24</v>
      </c>
      <c r="C24" s="2" t="s">
        <v>14</v>
      </c>
      <c r="D24" s="2" t="s">
        <v>16</v>
      </c>
      <c r="E24" s="2" t="s">
        <v>17</v>
      </c>
      <c r="F24" s="33" t="s">
        <v>29</v>
      </c>
      <c r="G24" s="2" t="s">
        <v>19</v>
      </c>
      <c r="H24" s="2" t="s">
        <v>18</v>
      </c>
      <c r="I24" s="33" t="s">
        <v>21</v>
      </c>
      <c r="J24" s="33" t="s">
        <v>30</v>
      </c>
      <c r="K24" s="33" t="s">
        <v>31</v>
      </c>
      <c r="L24" s="33" t="s">
        <v>32</v>
      </c>
    </row>
    <row r="25" spans="2:12" x14ac:dyDescent="0.3">
      <c r="B25" s="64" t="s">
        <v>61</v>
      </c>
      <c r="C25" s="42" t="s">
        <v>45</v>
      </c>
      <c r="D25" s="43">
        <v>48032</v>
      </c>
      <c r="E25" s="44">
        <v>1736</v>
      </c>
      <c r="F25" s="44">
        <v>481829.64499999996</v>
      </c>
      <c r="G25" s="44">
        <f t="shared" ref="G25:G31" si="0">IFERROR(F25/E25,0)</f>
        <v>277.55163882488478</v>
      </c>
      <c r="H25" s="45">
        <f t="shared" ref="H25:H31" si="1">IFERROR(E25/D25,0)</f>
        <v>3.6142571618920719E-2</v>
      </c>
      <c r="I25" s="44">
        <v>20</v>
      </c>
      <c r="J25" s="44">
        <v>5911200</v>
      </c>
      <c r="K25" s="45">
        <f t="shared" ref="K25:L31" si="2">IFERROR(I25/E25,0)</f>
        <v>1.1520737327188941E-2</v>
      </c>
      <c r="L25" s="46">
        <f t="shared" si="2"/>
        <v>12.26823642202422</v>
      </c>
    </row>
    <row r="26" spans="2:12" x14ac:dyDescent="0.3">
      <c r="B26" s="65"/>
      <c r="C26" s="31" t="s">
        <v>34</v>
      </c>
      <c r="D26" s="32">
        <v>23709</v>
      </c>
      <c r="E26" s="6">
        <v>491</v>
      </c>
      <c r="F26" s="6">
        <v>348286.125</v>
      </c>
      <c r="G26" s="6">
        <f t="shared" si="0"/>
        <v>709.34037678207744</v>
      </c>
      <c r="H26" s="12">
        <f t="shared" si="1"/>
        <v>2.0709435235564552E-2</v>
      </c>
      <c r="I26" s="6">
        <v>40</v>
      </c>
      <c r="J26" s="6">
        <v>9212400</v>
      </c>
      <c r="K26" s="12">
        <f>IFERROR(I26/E26,0)</f>
        <v>8.1466395112016296E-2</v>
      </c>
      <c r="L26" s="14">
        <f t="shared" si="2"/>
        <v>26.450666101039769</v>
      </c>
    </row>
    <row r="27" spans="2:12" x14ac:dyDescent="0.3">
      <c r="B27" s="65"/>
      <c r="C27" s="31" t="s">
        <v>35</v>
      </c>
      <c r="D27" s="32">
        <v>21908</v>
      </c>
      <c r="E27" s="6">
        <v>312</v>
      </c>
      <c r="F27" s="6">
        <v>269668.90499999997</v>
      </c>
      <c r="G27" s="6">
        <f t="shared" si="0"/>
        <v>864.32341346153839</v>
      </c>
      <c r="H27" s="12">
        <f t="shared" si="1"/>
        <v>1.4241373014423955E-2</v>
      </c>
      <c r="I27" s="6">
        <v>16</v>
      </c>
      <c r="J27" s="6">
        <v>2139800</v>
      </c>
      <c r="K27" s="12">
        <f t="shared" ref="K27:K31" si="3">IFERROR(I27/E27,0)</f>
        <v>5.128205128205128E-2</v>
      </c>
      <c r="L27" s="14">
        <f t="shared" si="2"/>
        <v>7.9349155958489179</v>
      </c>
    </row>
    <row r="28" spans="2:12" x14ac:dyDescent="0.3">
      <c r="B28" s="65"/>
      <c r="C28" s="31" t="s">
        <v>36</v>
      </c>
      <c r="D28" s="32">
        <v>10549</v>
      </c>
      <c r="E28" s="6">
        <v>86</v>
      </c>
      <c r="F28" s="6">
        <v>207237.36000000002</v>
      </c>
      <c r="G28" s="6">
        <f t="shared" si="0"/>
        <v>2409.7367441860465</v>
      </c>
      <c r="H28" s="12">
        <f t="shared" si="1"/>
        <v>8.1524315100957433E-3</v>
      </c>
      <c r="I28" s="6">
        <v>6</v>
      </c>
      <c r="J28" s="6">
        <v>69500</v>
      </c>
      <c r="K28" s="12">
        <f t="shared" si="3"/>
        <v>6.9767441860465115E-2</v>
      </c>
      <c r="L28" s="14">
        <f t="shared" si="2"/>
        <v>0.33536424127387066</v>
      </c>
    </row>
    <row r="29" spans="2:12" x14ac:dyDescent="0.3">
      <c r="B29" s="65"/>
      <c r="C29" s="31" t="s">
        <v>37</v>
      </c>
      <c r="D29" s="32">
        <v>16645</v>
      </c>
      <c r="E29" s="6">
        <v>137</v>
      </c>
      <c r="F29" s="6">
        <v>285793.86</v>
      </c>
      <c r="G29" s="6">
        <f t="shared" si="0"/>
        <v>2086.0865693430655</v>
      </c>
      <c r="H29" s="12">
        <f t="shared" si="1"/>
        <v>8.2306999098828472E-3</v>
      </c>
      <c r="I29" s="6">
        <v>33</v>
      </c>
      <c r="J29" s="6">
        <v>10345500</v>
      </c>
      <c r="K29" s="12">
        <f t="shared" si="3"/>
        <v>0.24087591240875914</v>
      </c>
      <c r="L29" s="14">
        <f t="shared" si="2"/>
        <v>36.199168169673065</v>
      </c>
    </row>
    <row r="30" spans="2:12" x14ac:dyDescent="0.3">
      <c r="B30" s="65"/>
      <c r="C30" s="31" t="s">
        <v>38</v>
      </c>
      <c r="D30" s="32">
        <v>6549</v>
      </c>
      <c r="E30" s="6">
        <v>38</v>
      </c>
      <c r="F30" s="6">
        <v>89708.74</v>
      </c>
      <c r="G30" s="6">
        <f t="shared" si="0"/>
        <v>2360.7563157894738</v>
      </c>
      <c r="H30" s="12">
        <f t="shared" si="1"/>
        <v>5.8024125820735992E-3</v>
      </c>
      <c r="I30" s="6">
        <v>9</v>
      </c>
      <c r="J30" s="6">
        <v>258300</v>
      </c>
      <c r="K30" s="12">
        <f t="shared" si="3"/>
        <v>0.23684210526315788</v>
      </c>
      <c r="L30" s="14">
        <f t="shared" si="2"/>
        <v>2.8793181132629884</v>
      </c>
    </row>
    <row r="31" spans="2:12" x14ac:dyDescent="0.3">
      <c r="B31" s="66"/>
      <c r="C31" s="4" t="s">
        <v>62</v>
      </c>
      <c r="D31" s="32">
        <v>9142</v>
      </c>
      <c r="E31" s="6">
        <v>158</v>
      </c>
      <c r="F31" s="6">
        <v>166414.54500000001</v>
      </c>
      <c r="G31" s="6">
        <f t="shared" si="0"/>
        <v>1053.2566139240507</v>
      </c>
      <c r="H31" s="12">
        <f t="shared" si="1"/>
        <v>1.7282870269087727E-2</v>
      </c>
      <c r="I31" s="6">
        <v>13</v>
      </c>
      <c r="J31" s="6">
        <v>1633700</v>
      </c>
      <c r="K31" s="12">
        <f t="shared" si="3"/>
        <v>8.2278481012658222E-2</v>
      </c>
      <c r="L31" s="14">
        <f t="shared" si="2"/>
        <v>9.8170505468737712</v>
      </c>
    </row>
    <row r="32" spans="2:12" x14ac:dyDescent="0.3">
      <c r="B32" s="30"/>
      <c r="C32" s="30"/>
      <c r="D32" s="30"/>
    </row>
    <row r="33" spans="1:14" x14ac:dyDescent="0.3">
      <c r="B33" s="30"/>
      <c r="C33" s="30"/>
      <c r="D33" s="30"/>
    </row>
    <row r="34" spans="1:14" x14ac:dyDescent="0.3">
      <c r="B34" s="30" t="s">
        <v>65</v>
      </c>
      <c r="C34" s="30"/>
      <c r="D34" s="30"/>
    </row>
    <row r="35" spans="1:14" x14ac:dyDescent="0.3">
      <c r="B35" s="2" t="s">
        <v>24</v>
      </c>
      <c r="C35" s="2" t="s">
        <v>14</v>
      </c>
      <c r="D35" s="2" t="s">
        <v>15</v>
      </c>
      <c r="E35" s="2" t="s">
        <v>28</v>
      </c>
      <c r="F35" s="2" t="s">
        <v>16</v>
      </c>
      <c r="G35" s="2" t="s">
        <v>17</v>
      </c>
      <c r="H35" s="2" t="s">
        <v>18</v>
      </c>
      <c r="I35" s="2" t="s">
        <v>19</v>
      </c>
      <c r="J35" s="2" t="s">
        <v>20</v>
      </c>
      <c r="K35" s="33" t="s">
        <v>21</v>
      </c>
      <c r="L35" s="33" t="s">
        <v>22</v>
      </c>
      <c r="M35" s="33" t="s">
        <v>33</v>
      </c>
      <c r="N35" s="33" t="s">
        <v>23</v>
      </c>
    </row>
    <row r="36" spans="1:14" x14ac:dyDescent="0.3">
      <c r="B36" s="52" t="s">
        <v>44</v>
      </c>
      <c r="C36" s="52" t="s">
        <v>60</v>
      </c>
      <c r="D36" s="52" t="s">
        <v>46</v>
      </c>
      <c r="E36" s="47" t="s">
        <v>53</v>
      </c>
      <c r="F36" s="48">
        <v>4891</v>
      </c>
      <c r="G36" s="48">
        <v>189</v>
      </c>
      <c r="H36" s="49">
        <f>G36/F36</f>
        <v>3.8642404416274791E-2</v>
      </c>
      <c r="I36" s="50">
        <f>J36/G36</f>
        <v>196.27579365079364</v>
      </c>
      <c r="J36" s="48">
        <v>37096.125</v>
      </c>
      <c r="K36" s="50">
        <v>0</v>
      </c>
      <c r="L36" s="49">
        <f t="shared" ref="L36:L43" si="4">IFERROR(K36/G36,0)</f>
        <v>0</v>
      </c>
      <c r="M36" s="50">
        <v>0</v>
      </c>
      <c r="N36" s="51">
        <f>IFERROR(M36/J36,0)</f>
        <v>0</v>
      </c>
    </row>
    <row r="37" spans="1:14" x14ac:dyDescent="0.3">
      <c r="B37" s="53"/>
      <c r="C37" s="53"/>
      <c r="D37" s="53"/>
      <c r="E37" s="35" t="s">
        <v>63</v>
      </c>
      <c r="F37" s="36">
        <v>436</v>
      </c>
      <c r="G37" s="38">
        <v>32</v>
      </c>
      <c r="H37" s="37">
        <f t="shared" ref="H37:H43" si="5">G37/F37</f>
        <v>7.3394495412844041E-2</v>
      </c>
      <c r="I37" s="38">
        <f t="shared" ref="I37:I43" si="6">J37/G37</f>
        <v>125.27453125</v>
      </c>
      <c r="J37" s="36">
        <v>4008.7849999999999</v>
      </c>
      <c r="K37" s="38">
        <v>2</v>
      </c>
      <c r="L37" s="37">
        <f t="shared" si="4"/>
        <v>6.25E-2</v>
      </c>
      <c r="M37" s="38">
        <v>2098800</v>
      </c>
      <c r="N37" s="39">
        <f t="shared" ref="N37:N39" si="7">IFERROR(M37/J37,0)</f>
        <v>523.55015297652528</v>
      </c>
    </row>
    <row r="38" spans="1:14" x14ac:dyDescent="0.3">
      <c r="B38" s="53"/>
      <c r="C38" s="53"/>
      <c r="D38" s="53"/>
      <c r="E38" s="4" t="s">
        <v>54</v>
      </c>
      <c r="F38" s="11">
        <v>29116</v>
      </c>
      <c r="G38" s="13">
        <v>1094</v>
      </c>
      <c r="H38" s="49">
        <f t="shared" si="5"/>
        <v>3.7573842560791319E-2</v>
      </c>
      <c r="I38" s="50">
        <f t="shared" si="6"/>
        <v>168.61964351005483</v>
      </c>
      <c r="J38" s="11">
        <v>184469.88999999998</v>
      </c>
      <c r="K38" s="13">
        <v>3</v>
      </c>
      <c r="L38" s="49">
        <f t="shared" si="4"/>
        <v>2.7422303473491772E-3</v>
      </c>
      <c r="M38" s="13">
        <v>849600</v>
      </c>
      <c r="N38" s="14">
        <f>IFERROR(M38/J38,0)</f>
        <v>4.6056296775587606</v>
      </c>
    </row>
    <row r="39" spans="1:14" x14ac:dyDescent="0.3">
      <c r="B39" s="53"/>
      <c r="C39" s="53"/>
      <c r="D39" s="53"/>
      <c r="E39" s="4" t="s">
        <v>57</v>
      </c>
      <c r="F39" s="11">
        <v>1783</v>
      </c>
      <c r="G39" s="11">
        <v>71</v>
      </c>
      <c r="H39" s="49">
        <f t="shared" si="5"/>
        <v>3.9820527201346045E-2</v>
      </c>
      <c r="I39" s="50">
        <f t="shared" si="6"/>
        <v>227.02295774647885</v>
      </c>
      <c r="J39" s="11">
        <v>16118.63</v>
      </c>
      <c r="K39" s="13">
        <v>0</v>
      </c>
      <c r="L39" s="49">
        <f t="shared" si="4"/>
        <v>0</v>
      </c>
      <c r="M39" s="13">
        <v>0</v>
      </c>
      <c r="N39" s="14">
        <f t="shared" si="7"/>
        <v>0</v>
      </c>
    </row>
    <row r="40" spans="1:14" x14ac:dyDescent="0.3">
      <c r="B40" s="53"/>
      <c r="C40" s="53"/>
      <c r="D40" s="52" t="s">
        <v>47</v>
      </c>
      <c r="E40" s="4" t="s">
        <v>49</v>
      </c>
      <c r="F40" s="11">
        <v>1666</v>
      </c>
      <c r="G40" s="11">
        <v>64</v>
      </c>
      <c r="H40" s="49">
        <f t="shared" si="5"/>
        <v>3.8415366146458581E-2</v>
      </c>
      <c r="I40" s="50">
        <f t="shared" si="6"/>
        <v>563.63656249999997</v>
      </c>
      <c r="J40" s="11">
        <v>36072.74</v>
      </c>
      <c r="K40" s="13">
        <v>2</v>
      </c>
      <c r="L40" s="49">
        <f t="shared" si="4"/>
        <v>3.125E-2</v>
      </c>
      <c r="M40" s="13">
        <v>369000</v>
      </c>
      <c r="N40" s="14">
        <f>IFERROR(M40/J40,0)</f>
        <v>10.22933106828037</v>
      </c>
    </row>
    <row r="41" spans="1:14" x14ac:dyDescent="0.3">
      <c r="B41" s="53"/>
      <c r="C41" s="53"/>
      <c r="D41" s="53"/>
      <c r="E41" s="4" t="s">
        <v>50</v>
      </c>
      <c r="F41" s="11">
        <v>5706</v>
      </c>
      <c r="G41" s="11">
        <v>137</v>
      </c>
      <c r="H41" s="49">
        <f t="shared" si="5"/>
        <v>2.4009814230634419E-2</v>
      </c>
      <c r="I41" s="50">
        <f t="shared" si="6"/>
        <v>846.17419708029195</v>
      </c>
      <c r="J41" s="11">
        <v>115925.86499999999</v>
      </c>
      <c r="K41" s="13">
        <v>4</v>
      </c>
      <c r="L41" s="49">
        <f t="shared" si="4"/>
        <v>2.9197080291970802E-2</v>
      </c>
      <c r="M41" s="13">
        <v>844200</v>
      </c>
      <c r="N41" s="14">
        <f>IFERROR(M41/J41,0)</f>
        <v>7.2822402489729106</v>
      </c>
    </row>
    <row r="42" spans="1:14" x14ac:dyDescent="0.3">
      <c r="B42" s="53"/>
      <c r="C42" s="53"/>
      <c r="D42" s="53"/>
      <c r="E42" s="4" t="s">
        <v>51</v>
      </c>
      <c r="F42" s="11">
        <v>1822</v>
      </c>
      <c r="G42" s="11">
        <v>63</v>
      </c>
      <c r="H42" s="49">
        <f t="shared" si="5"/>
        <v>3.4577387486278817E-2</v>
      </c>
      <c r="I42" s="50">
        <f t="shared" si="6"/>
        <v>582.12087301587303</v>
      </c>
      <c r="J42" s="11">
        <v>36673.614999999998</v>
      </c>
      <c r="K42" s="13">
        <v>2</v>
      </c>
      <c r="L42" s="49">
        <f t="shared" si="4"/>
        <v>3.1746031746031744E-2</v>
      </c>
      <c r="M42" s="13">
        <v>359100</v>
      </c>
      <c r="N42" s="14">
        <f t="shared" ref="N42:N43" si="8">IFERROR(M42/J42,0)</f>
        <v>9.791780821170752</v>
      </c>
    </row>
    <row r="43" spans="1:14" x14ac:dyDescent="0.3">
      <c r="B43" s="53"/>
      <c r="C43" s="53"/>
      <c r="D43" s="53"/>
      <c r="E43" s="35" t="s">
        <v>52</v>
      </c>
      <c r="F43" s="36">
        <v>2612</v>
      </c>
      <c r="G43" s="36">
        <v>86</v>
      </c>
      <c r="H43" s="37">
        <f t="shared" si="5"/>
        <v>3.2924961715160794E-2</v>
      </c>
      <c r="I43" s="38">
        <f t="shared" si="6"/>
        <v>598.41854651162794</v>
      </c>
      <c r="J43" s="36">
        <v>51463.995000000003</v>
      </c>
      <c r="K43" s="38">
        <v>7</v>
      </c>
      <c r="L43" s="37">
        <f t="shared" si="4"/>
        <v>8.1395348837209308E-2</v>
      </c>
      <c r="M43" s="38">
        <v>1390500</v>
      </c>
      <c r="N43" s="39">
        <f t="shared" si="8"/>
        <v>27.018889613991295</v>
      </c>
    </row>
    <row r="44" spans="1:14" x14ac:dyDescent="0.3">
      <c r="B44" s="25" t="s">
        <v>25</v>
      </c>
      <c r="C44" s="26"/>
      <c r="D44" s="26"/>
      <c r="E44" s="26"/>
      <c r="F44" s="19">
        <f>SUM(F36:F43)</f>
        <v>48032</v>
      </c>
      <c r="G44" s="19">
        <f>SUM(G36:G43)</f>
        <v>1736</v>
      </c>
      <c r="H44" s="20">
        <f t="shared" ref="H44" si="9">G44/F44</f>
        <v>3.6142571618920719E-2</v>
      </c>
      <c r="I44" s="21">
        <f t="shared" ref="I44" si="10">J44/G44</f>
        <v>277.55163882488478</v>
      </c>
      <c r="J44" s="19">
        <f>SUM(J36:J43)</f>
        <v>481829.64499999996</v>
      </c>
      <c r="K44" s="21">
        <f>SUM(K36:K43)</f>
        <v>20</v>
      </c>
      <c r="L44" s="20">
        <f>IFERROR(K44/G44,0)</f>
        <v>1.1520737327188941E-2</v>
      </c>
      <c r="M44" s="21">
        <f>SUM(M36:M43)</f>
        <v>5911200</v>
      </c>
      <c r="N44" s="22">
        <f>IFERROR(M44/J44,0)</f>
        <v>12.26823642202422</v>
      </c>
    </row>
    <row r="45" spans="1:14" x14ac:dyDescent="0.3">
      <c r="A45" s="7"/>
      <c r="B45" s="7"/>
      <c r="C45" s="7"/>
      <c r="D45" s="7"/>
      <c r="E45" s="15"/>
      <c r="F45" s="16"/>
      <c r="G45" s="17"/>
      <c r="H45" s="15"/>
      <c r="I45" s="7"/>
      <c r="J45" s="16"/>
      <c r="K45" s="15"/>
      <c r="L45" s="18"/>
    </row>
    <row r="46" spans="1:14" x14ac:dyDescent="0.3">
      <c r="A46" s="7"/>
      <c r="B46" s="7"/>
      <c r="C46" s="7"/>
      <c r="D46" s="7"/>
      <c r="E46" s="15"/>
      <c r="F46" s="16"/>
      <c r="G46" s="17"/>
      <c r="H46" s="15"/>
      <c r="I46" s="7"/>
      <c r="J46" s="16"/>
      <c r="K46" s="15"/>
      <c r="L46" s="18"/>
    </row>
    <row r="47" spans="1:14" x14ac:dyDescent="0.3">
      <c r="A47" s="7"/>
      <c r="B47" s="7"/>
      <c r="C47" s="7"/>
      <c r="D47" s="7"/>
      <c r="E47" s="15"/>
      <c r="F47" s="16"/>
      <c r="G47" s="17"/>
      <c r="H47" s="15"/>
      <c r="I47" s="7"/>
      <c r="J47" s="16"/>
      <c r="K47" s="15"/>
      <c r="L47" s="18"/>
    </row>
    <row r="48" spans="1:14" ht="14.25" customHeight="1" x14ac:dyDescent="0.3">
      <c r="B48" s="34" t="s">
        <v>13</v>
      </c>
    </row>
    <row r="49" spans="2:12" ht="24" customHeight="1" x14ac:dyDescent="0.3">
      <c r="B49" s="34"/>
    </row>
    <row r="50" spans="2:12" x14ac:dyDescent="0.3">
      <c r="B50" s="10" t="s">
        <v>48</v>
      </c>
      <c r="C50" s="29" t="s">
        <v>56</v>
      </c>
      <c r="D50" s="41" t="s">
        <v>55</v>
      </c>
      <c r="E50" s="54" t="s">
        <v>58</v>
      </c>
      <c r="F50" s="54"/>
      <c r="H50" s="24"/>
      <c r="I50" s="24"/>
      <c r="K50" s="24"/>
      <c r="L50" s="24"/>
    </row>
    <row r="51" spans="2:12" x14ac:dyDescent="0.3">
      <c r="C51" s="9"/>
      <c r="D51" s="9"/>
    </row>
    <row r="52" spans="2:12" x14ac:dyDescent="0.3">
      <c r="C52" s="9"/>
      <c r="D52" s="9"/>
    </row>
    <row r="53" spans="2:12" x14ac:dyDescent="0.3">
      <c r="C53" s="9"/>
      <c r="D53" s="9"/>
    </row>
    <row r="54" spans="2:12" x14ac:dyDescent="0.3">
      <c r="C54" s="9"/>
      <c r="D54" s="9"/>
    </row>
    <row r="63" spans="2:12" x14ac:dyDescent="0.3">
      <c r="B63" s="10" t="s">
        <v>49</v>
      </c>
      <c r="C63" s="40" t="s">
        <v>64</v>
      </c>
      <c r="D63" s="41" t="s">
        <v>59</v>
      </c>
      <c r="E63" s="54" t="s">
        <v>52</v>
      </c>
      <c r="F63" s="54"/>
      <c r="H63" s="24"/>
      <c r="I63" s="24"/>
      <c r="K63" s="24"/>
      <c r="L63" s="24"/>
    </row>
    <row r="67" spans="1:14" s="1" customFormat="1" x14ac:dyDescent="0.3">
      <c r="A67"/>
      <c r="B67" s="10"/>
      <c r="C67" s="29"/>
      <c r="D67" s="29"/>
      <c r="E67" s="23"/>
      <c r="F67"/>
      <c r="G67"/>
      <c r="M67"/>
      <c r="N67"/>
    </row>
    <row r="68" spans="1:14" s="1" customFormat="1" x14ac:dyDescent="0.3">
      <c r="A68"/>
      <c r="B68"/>
      <c r="C68"/>
      <c r="D68"/>
      <c r="E68"/>
      <c r="F68"/>
      <c r="G68"/>
      <c r="H68"/>
      <c r="M68"/>
      <c r="N68"/>
    </row>
    <row r="69" spans="1:14" s="1" customFormat="1" ht="16.5" hidden="1" customHeight="1" x14ac:dyDescent="0.3">
      <c r="A69"/>
      <c r="B69"/>
      <c r="C69"/>
      <c r="D69" s="4" t="s">
        <v>0</v>
      </c>
      <c r="E69"/>
      <c r="F69"/>
      <c r="G69"/>
      <c r="H69"/>
      <c r="M69"/>
      <c r="N69"/>
    </row>
    <row r="70" spans="1:14" s="1" customFormat="1" ht="16.5" hidden="1" customHeight="1" x14ac:dyDescent="0.3">
      <c r="A70"/>
      <c r="B70" s="4" t="s">
        <v>3</v>
      </c>
      <c r="C70" s="4"/>
      <c r="D70" s="4">
        <f t="shared" ref="D70:D75" si="11">LEN(C70)</f>
        <v>0</v>
      </c>
      <c r="E70"/>
      <c r="F70"/>
      <c r="G70"/>
      <c r="H70"/>
      <c r="M70"/>
      <c r="N70"/>
    </row>
    <row r="71" spans="1:14" s="1" customFormat="1" ht="16.5" hidden="1" customHeight="1" x14ac:dyDescent="0.3">
      <c r="A71"/>
      <c r="B71" s="4" t="s">
        <v>4</v>
      </c>
      <c r="C71" s="4"/>
      <c r="D71" s="4">
        <f t="shared" si="11"/>
        <v>0</v>
      </c>
      <c r="E71"/>
      <c r="F71"/>
      <c r="G71"/>
      <c r="H71"/>
      <c r="M71"/>
      <c r="N71"/>
    </row>
    <row r="72" spans="1:14" s="1" customFormat="1" ht="16.5" hidden="1" customHeight="1" x14ac:dyDescent="0.3">
      <c r="A72"/>
      <c r="B72" s="4" t="s">
        <v>5</v>
      </c>
      <c r="C72" s="4"/>
      <c r="D72" s="4">
        <f t="shared" si="11"/>
        <v>0</v>
      </c>
      <c r="E72"/>
      <c r="F72"/>
      <c r="G72"/>
      <c r="H72"/>
      <c r="M72"/>
      <c r="N72"/>
    </row>
    <row r="73" spans="1:14" s="1" customFormat="1" ht="16.5" hidden="1" customHeight="1" x14ac:dyDescent="0.3">
      <c r="A73"/>
      <c r="B73" s="4" t="s">
        <v>6</v>
      </c>
      <c r="C73" s="4"/>
      <c r="D73" s="4">
        <f t="shared" si="11"/>
        <v>0</v>
      </c>
      <c r="E73"/>
      <c r="F73"/>
      <c r="G73"/>
      <c r="H73"/>
      <c r="M73"/>
      <c r="N73"/>
    </row>
    <row r="74" spans="1:14" s="1" customFormat="1" ht="16.5" hidden="1" customHeight="1" x14ac:dyDescent="0.3">
      <c r="A74"/>
      <c r="B74" s="4" t="s">
        <v>7</v>
      </c>
      <c r="C74" s="4"/>
      <c r="D74" s="4">
        <f t="shared" si="11"/>
        <v>0</v>
      </c>
      <c r="E74"/>
      <c r="F74"/>
      <c r="G74"/>
      <c r="H74"/>
      <c r="M74"/>
      <c r="N74"/>
    </row>
    <row r="75" spans="1:14" s="1" customFormat="1" hidden="1" x14ac:dyDescent="0.3">
      <c r="A75"/>
      <c r="B75" s="4" t="s">
        <v>8</v>
      </c>
      <c r="C75" s="4"/>
      <c r="D75" s="4">
        <f t="shared" si="11"/>
        <v>0</v>
      </c>
      <c r="E75"/>
      <c r="F75"/>
      <c r="G75"/>
      <c r="H75"/>
      <c r="M75"/>
      <c r="N75"/>
    </row>
    <row r="76" spans="1:14" s="1" customFormat="1" hidden="1" x14ac:dyDescent="0.3">
      <c r="A76"/>
      <c r="B76" s="4" t="s">
        <v>9</v>
      </c>
      <c r="C76" s="4"/>
      <c r="D76" s="4"/>
      <c r="E76"/>
      <c r="F76"/>
      <c r="G76"/>
      <c r="H76"/>
      <c r="M76"/>
      <c r="N76"/>
    </row>
    <row r="77" spans="1:14" s="1" customFormat="1" hidden="1" x14ac:dyDescent="0.3">
      <c r="A77"/>
      <c r="B77"/>
      <c r="C77"/>
      <c r="D77"/>
      <c r="E77"/>
      <c r="F77"/>
      <c r="G77"/>
      <c r="M77"/>
      <c r="N77"/>
    </row>
    <row r="78" spans="1:14" s="1" customFormat="1" hidden="1" x14ac:dyDescent="0.3">
      <c r="A78"/>
      <c r="B78"/>
      <c r="C78"/>
      <c r="D78"/>
      <c r="E78"/>
      <c r="F78"/>
      <c r="G78"/>
      <c r="M78"/>
      <c r="N78"/>
    </row>
  </sheetData>
  <mergeCells count="8">
    <mergeCell ref="B36:B43"/>
    <mergeCell ref="C36:C43"/>
    <mergeCell ref="D40:D43"/>
    <mergeCell ref="E63:F63"/>
    <mergeCell ref="B12:D20"/>
    <mergeCell ref="D36:D39"/>
    <mergeCell ref="E50:F50"/>
    <mergeCell ref="B25:B31"/>
  </mergeCells>
  <phoneticPr fontId="1" type="noConversion"/>
  <pageMargins left="0.7" right="0.7" top="0.75" bottom="0.75" header="0.3" footer="0.3"/>
  <pageSetup paperSize="9" orientation="portrait" r:id="rId1"/>
  <ignoredErrors>
    <ignoredError sqref="L44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29CM FOCUS 운영성과_DA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21-A-001</cp:lastModifiedBy>
  <dcterms:created xsi:type="dcterms:W3CDTF">2025-08-12T03:44:45Z</dcterms:created>
  <dcterms:modified xsi:type="dcterms:W3CDTF">2026-04-20T03:50:42Z</dcterms:modified>
</cp:coreProperties>
</file>