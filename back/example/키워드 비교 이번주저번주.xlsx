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한승예\Downloads\"/>
    </mc:Choice>
  </mc:AlternateContent>
  <xr:revisionPtr revIDLastSave="0" documentId="8_{21AEAC5D-D9EB-4C34-A365-BE947EC0D428}" xr6:coauthVersionLast="47" xr6:coauthVersionMax="47" xr10:uidLastSave="{00000000-0000-0000-0000-000000000000}"/>
  <bookViews>
    <workbookView xWindow="-103" yWindow="-103" windowWidth="24892" windowHeight="14914" activeTab="1" xr2:uid="{7B85402B-2880-46F9-A225-797FA683999F}"/>
  </bookViews>
  <sheets>
    <sheet name="16일" sheetId="1" r:id="rId1"/>
    <sheet name="23일" sheetId="2" r:id="rId2"/>
  </sheets>
  <definedNames>
    <definedName name="_xlnm._FilterDatabase" localSheetId="0" hidden="1">'16일'!$A$2:$K$26</definedName>
    <definedName name="_xlnm._FilterDatabase" localSheetId="1" hidden="1">'23일'!$A$2:$K$2</definedName>
  </definedNames>
  <calcPr calcId="0"/>
</workbook>
</file>

<file path=xl/calcChain.xml><?xml version="1.0" encoding="utf-8"?>
<calcChain xmlns="http://schemas.openxmlformats.org/spreadsheetml/2006/main">
  <c r="A3" i="2" l="1"/>
  <c r="J3" i="2"/>
  <c r="K3" i="2"/>
  <c r="A4" i="2"/>
  <c r="J4" i="2"/>
  <c r="K4" i="2"/>
  <c r="A5" i="2"/>
  <c r="J5" i="2"/>
  <c r="K5" i="2"/>
  <c r="A6" i="2"/>
  <c r="J6" i="2"/>
  <c r="K6" i="2"/>
  <c r="A7" i="2"/>
  <c r="J7" i="2"/>
  <c r="K7" i="2"/>
  <c r="A8" i="2"/>
  <c r="J8" i="2"/>
  <c r="K8" i="2"/>
  <c r="A9" i="2"/>
  <c r="J9" i="2"/>
  <c r="K9" i="2"/>
  <c r="A10" i="2"/>
  <c r="J10" i="2"/>
  <c r="K10" i="2"/>
  <c r="A11" i="2"/>
  <c r="J11" i="2"/>
  <c r="K11" i="2"/>
  <c r="A12" i="2"/>
  <c r="J12" i="2"/>
  <c r="K12" i="2"/>
  <c r="A13" i="2"/>
  <c r="J13" i="2"/>
  <c r="K13" i="2"/>
  <c r="A14" i="2"/>
  <c r="J14" i="2"/>
  <c r="K14" i="2"/>
  <c r="A15" i="2"/>
  <c r="J15" i="2"/>
  <c r="K15" i="2"/>
  <c r="A16" i="2"/>
  <c r="J16" i="2"/>
  <c r="K16" i="2"/>
  <c r="A17" i="2"/>
  <c r="J17" i="2"/>
  <c r="K17" i="2"/>
  <c r="A18" i="2"/>
  <c r="J18" i="2"/>
  <c r="K18" i="2"/>
  <c r="A19" i="2"/>
  <c r="J19" i="2"/>
  <c r="K19" i="2"/>
  <c r="A20" i="2"/>
  <c r="J20" i="2"/>
  <c r="K20" i="2"/>
  <c r="K14" i="1"/>
  <c r="J14" i="1"/>
  <c r="K13" i="1"/>
  <c r="J13" i="1"/>
  <c r="K12" i="1"/>
  <c r="J12" i="1"/>
  <c r="K25" i="1"/>
  <c r="J25" i="1"/>
  <c r="K8" i="1"/>
  <c r="J8" i="1"/>
  <c r="K6" i="1"/>
  <c r="J6" i="1"/>
  <c r="K4" i="1"/>
  <c r="J4" i="1"/>
  <c r="K24" i="1"/>
  <c r="J24" i="1"/>
  <c r="K26" i="1"/>
  <c r="J26" i="1"/>
  <c r="K23" i="1"/>
  <c r="J23" i="1"/>
  <c r="K11" i="1"/>
  <c r="J11" i="1"/>
  <c r="K22" i="1"/>
  <c r="J22" i="1"/>
  <c r="K7" i="1"/>
  <c r="J7" i="1"/>
  <c r="K10" i="1"/>
  <c r="J10" i="1"/>
  <c r="K5" i="1"/>
  <c r="J5" i="1"/>
  <c r="K9" i="1"/>
  <c r="J9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3" i="1"/>
  <c r="J3" i="1"/>
  <c r="A14" i="1"/>
  <c r="A13" i="1"/>
  <c r="A12" i="1"/>
  <c r="A25" i="1"/>
  <c r="A8" i="1"/>
  <c r="A6" i="1"/>
  <c r="A4" i="1"/>
  <c r="A24" i="1"/>
  <c r="A26" i="1"/>
  <c r="A23" i="1"/>
  <c r="A11" i="1"/>
  <c r="A22" i="1"/>
  <c r="A7" i="1"/>
  <c r="A10" i="1"/>
  <c r="A5" i="1"/>
  <c r="A9" i="1"/>
  <c r="A21" i="1"/>
  <c r="A20" i="1"/>
  <c r="A19" i="1"/>
  <c r="A18" i="1"/>
  <c r="A17" i="1"/>
  <c r="A16" i="1"/>
  <c r="A15" i="1"/>
  <c r="A3" i="1"/>
</calcChain>
</file>

<file path=xl/sharedStrings.xml><?xml version="1.0" encoding="utf-8"?>
<sst xmlns="http://schemas.openxmlformats.org/spreadsheetml/2006/main" count="190" uniqueCount="41">
  <si>
    <t>(HM) 키워드_전환데이터(2026.05.16.~2026.05.16.),1921168</t>
  </si>
  <si>
    <t>캠페인유형</t>
  </si>
  <si>
    <t>PC/모바일 매체</t>
  </si>
  <si>
    <t>키워드</t>
  </si>
  <si>
    <t>전환 유형</t>
  </si>
  <si>
    <t>총 전환수</t>
  </si>
  <si>
    <t>총 전환매출액(원)</t>
  </si>
  <si>
    <t>브랜드검색/신제품검색</t>
  </si>
  <si>
    <t>PC</t>
  </si>
  <si>
    <t>김영편입</t>
  </si>
  <si>
    <t>구매완료</t>
  </si>
  <si>
    <t>신청 완료</t>
  </si>
  <si>
    <t>회원가입</t>
  </si>
  <si>
    <t>김영편입설명회</t>
  </si>
  <si>
    <t>김영편입수원</t>
  </si>
  <si>
    <t>김영편입인강</t>
  </si>
  <si>
    <t>김영편입학원</t>
  </si>
  <si>
    <t>모바일</t>
  </si>
  <si>
    <t>김영패스</t>
  </si>
  <si>
    <t>김영편입강남</t>
  </si>
  <si>
    <t>김영편입부평</t>
  </si>
  <si>
    <t>파워링크</t>
  </si>
  <si>
    <t>김영편입신촌</t>
  </si>
  <si>
    <t>장황수학</t>
  </si>
  <si>
    <t>편입논술</t>
  </si>
  <si>
    <t>편입학원</t>
  </si>
  <si>
    <t>-</t>
  </si>
  <si>
    <t>연고대편입</t>
  </si>
  <si>
    <t>편입인강</t>
  </si>
  <si>
    <t>이번주전환</t>
    <phoneticPr fontId="18" type="noConversion"/>
  </si>
  <si>
    <t>이번주전환액</t>
    <phoneticPr fontId="18" type="noConversion"/>
  </si>
  <si>
    <t>전홚수비교</t>
    <phoneticPr fontId="18" type="noConversion"/>
  </si>
  <si>
    <t>전환액비교</t>
    <phoneticPr fontId="18" type="noConversion"/>
  </si>
  <si>
    <t>편입</t>
  </si>
  <si>
    <t>김영편입여름방학</t>
  </si>
  <si>
    <t>약대편입</t>
  </si>
  <si>
    <t>김영편입패스</t>
  </si>
  <si>
    <t>백은영</t>
  </si>
  <si>
    <t>전환수전환액</t>
  </si>
  <si>
    <t>전환수전환</t>
  </si>
  <si>
    <t>(HM) 키워드_전환데이터(2026.05.23.~2026.05.23.),1921168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</si>
</sst>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0FD5-6462-4952-B90D-D99DAD288FE6}">
  <dimension ref="A1:K26"/>
  <sheetViews>
    <sheetView workbookViewId="0">
      <selection activeCell="H2" sqref="H2:L2"/>
    </sheetView>
  </sheetViews>
  <sheetFormatPr defaultRowHeight="17.600000000000001" x14ac:dyDescent="0.55000000000000004"/>
  <cols>
    <col min="4" max="4" width="14.42578125" bestFit="1" customWidth="1"/>
  </cols>
  <sheetData>
    <row r="1" spans="1:11" x14ac:dyDescent="0.55000000000000004">
      <c r="B1" t="s">
        <v>0</v>
      </c>
    </row>
    <row r="2" spans="1:11" x14ac:dyDescent="0.5500000000000000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29</v>
      </c>
      <c r="I2" t="s">
        <v>30</v>
      </c>
      <c r="J2" t="s">
        <v>31</v>
      </c>
      <c r="K2" t="s">
        <v>32</v>
      </c>
    </row>
    <row r="3" spans="1:11" x14ac:dyDescent="0.55000000000000004">
      <c r="A3" t="str">
        <f>B3&amp;C3&amp;D3&amp;E3</f>
        <v>브랜드검색/신제품검색PC김영편입구매완료</v>
      </c>
      <c r="B3" t="s">
        <v>7</v>
      </c>
      <c r="C3" t="s">
        <v>8</v>
      </c>
      <c r="D3" t="s">
        <v>9</v>
      </c>
      <c r="E3" t="s">
        <v>10</v>
      </c>
      <c r="F3">
        <v>13</v>
      </c>
      <c r="G3">
        <v>3927000</v>
      </c>
      <c r="H3">
        <v>8</v>
      </c>
      <c r="I3">
        <v>317000</v>
      </c>
      <c r="J3">
        <f>F3-H3</f>
        <v>5</v>
      </c>
      <c r="K3">
        <f>G3-I3</f>
        <v>3610000</v>
      </c>
    </row>
    <row r="4" spans="1:11" x14ac:dyDescent="0.55000000000000004">
      <c r="A4" t="str">
        <f>B4&amp;C4&amp;D4&amp;E4</f>
        <v>파워링크PC김영편입인강구매완료</v>
      </c>
      <c r="B4" t="s">
        <v>21</v>
      </c>
      <c r="C4" t="s">
        <v>8</v>
      </c>
      <c r="D4" t="s">
        <v>15</v>
      </c>
      <c r="E4" t="s">
        <v>10</v>
      </c>
      <c r="F4">
        <v>1</v>
      </c>
      <c r="G4">
        <v>1340000</v>
      </c>
      <c r="H4">
        <v>0</v>
      </c>
      <c r="I4">
        <v>0</v>
      </c>
      <c r="J4">
        <f>F4-H4</f>
        <v>1</v>
      </c>
      <c r="K4">
        <f>G4-I4</f>
        <v>1340000</v>
      </c>
    </row>
    <row r="5" spans="1:11" x14ac:dyDescent="0.55000000000000004">
      <c r="A5" t="str">
        <f>B5&amp;C5&amp;D5&amp;E5</f>
        <v>브랜드검색/신제품검색모바일김영편입구매완료</v>
      </c>
      <c r="B5" t="s">
        <v>7</v>
      </c>
      <c r="C5" t="s">
        <v>17</v>
      </c>
      <c r="D5" t="s">
        <v>9</v>
      </c>
      <c r="E5" t="s">
        <v>10</v>
      </c>
      <c r="F5">
        <v>45</v>
      </c>
      <c r="G5">
        <v>3165400</v>
      </c>
      <c r="H5">
        <v>24</v>
      </c>
      <c r="I5">
        <v>2241500</v>
      </c>
      <c r="J5">
        <f>F5-H5</f>
        <v>21</v>
      </c>
      <c r="K5">
        <f>G5-I5</f>
        <v>923900</v>
      </c>
    </row>
    <row r="6" spans="1:11" x14ac:dyDescent="0.55000000000000004">
      <c r="A6" t="str">
        <f>B6&amp;C6&amp;D6&amp;E6</f>
        <v>파워링크PC장황수학구매완료</v>
      </c>
      <c r="B6" t="s">
        <v>21</v>
      </c>
      <c r="C6" t="s">
        <v>8</v>
      </c>
      <c r="D6" t="s">
        <v>23</v>
      </c>
      <c r="E6" t="s">
        <v>10</v>
      </c>
      <c r="F6">
        <v>2</v>
      </c>
      <c r="G6">
        <v>813000</v>
      </c>
      <c r="H6">
        <v>0</v>
      </c>
      <c r="I6">
        <v>0</v>
      </c>
      <c r="J6">
        <f>F6-H6</f>
        <v>2</v>
      </c>
      <c r="K6">
        <f>G6-I6</f>
        <v>813000</v>
      </c>
    </row>
    <row r="7" spans="1:11" x14ac:dyDescent="0.55000000000000004">
      <c r="A7" t="str">
        <f>B7&amp;C7&amp;D7&amp;E7</f>
        <v>브랜드검색/신제품검색모바일김영편입강남구매완료</v>
      </c>
      <c r="B7" t="s">
        <v>7</v>
      </c>
      <c r="C7" t="s">
        <v>17</v>
      </c>
      <c r="D7" t="s">
        <v>19</v>
      </c>
      <c r="E7" t="s">
        <v>10</v>
      </c>
      <c r="F7">
        <v>2</v>
      </c>
      <c r="G7">
        <v>550000</v>
      </c>
      <c r="H7">
        <v>0</v>
      </c>
      <c r="I7">
        <v>0</v>
      </c>
      <c r="J7">
        <f>F7-H7</f>
        <v>2</v>
      </c>
      <c r="K7">
        <f>G7-I7</f>
        <v>550000</v>
      </c>
    </row>
    <row r="8" spans="1:11" x14ac:dyDescent="0.55000000000000004">
      <c r="A8" t="str">
        <f>B8&amp;C8&amp;D8&amp;E8</f>
        <v>파워링크PC편입논술구매완료</v>
      </c>
      <c r="B8" t="s">
        <v>21</v>
      </c>
      <c r="C8" t="s">
        <v>8</v>
      </c>
      <c r="D8" t="s">
        <v>24</v>
      </c>
      <c r="E8" t="s">
        <v>10</v>
      </c>
      <c r="F8">
        <v>1</v>
      </c>
      <c r="G8">
        <v>44000</v>
      </c>
      <c r="H8">
        <v>0</v>
      </c>
      <c r="I8">
        <v>0</v>
      </c>
      <c r="J8">
        <f>F8-H8</f>
        <v>1</v>
      </c>
      <c r="K8">
        <f>G8-I8</f>
        <v>44000</v>
      </c>
    </row>
    <row r="9" spans="1:11" x14ac:dyDescent="0.55000000000000004">
      <c r="A9" t="str">
        <f>B9&amp;C9&amp;D9&amp;E9</f>
        <v>브랜드검색/신제품검색모바일김영패스구매완료</v>
      </c>
      <c r="B9" t="s">
        <v>7</v>
      </c>
      <c r="C9" t="s">
        <v>17</v>
      </c>
      <c r="D9" t="s">
        <v>18</v>
      </c>
      <c r="E9" t="s">
        <v>10</v>
      </c>
      <c r="F9">
        <v>1</v>
      </c>
      <c r="G9">
        <v>20000</v>
      </c>
      <c r="H9">
        <v>0</v>
      </c>
      <c r="I9">
        <v>0</v>
      </c>
      <c r="J9">
        <f>F9-H9</f>
        <v>1</v>
      </c>
      <c r="K9">
        <f>G9-I9</f>
        <v>20000</v>
      </c>
    </row>
    <row r="10" spans="1:11" x14ac:dyDescent="0.55000000000000004">
      <c r="A10" t="str">
        <f>B10&amp;C10&amp;D10&amp;E10</f>
        <v>브랜드검색/신제품검색모바일김영편입회원가입</v>
      </c>
      <c r="B10" t="s">
        <v>7</v>
      </c>
      <c r="C10" t="s">
        <v>17</v>
      </c>
      <c r="D10" t="s">
        <v>9</v>
      </c>
      <c r="E10" t="s">
        <v>12</v>
      </c>
      <c r="F10">
        <v>9</v>
      </c>
      <c r="G10">
        <v>7</v>
      </c>
      <c r="H10">
        <v>6</v>
      </c>
      <c r="I10">
        <v>6</v>
      </c>
      <c r="J10">
        <f>F10-H10</f>
        <v>3</v>
      </c>
      <c r="K10">
        <f>G10-I10</f>
        <v>1</v>
      </c>
    </row>
    <row r="11" spans="1:11" x14ac:dyDescent="0.55000000000000004">
      <c r="A11" t="str">
        <f>B11&amp;C11&amp;D11&amp;E11</f>
        <v>브랜드검색/신제품검색모바일김영편입강남회원가입</v>
      </c>
      <c r="B11" t="s">
        <v>7</v>
      </c>
      <c r="C11" t="s">
        <v>17</v>
      </c>
      <c r="D11" t="s">
        <v>19</v>
      </c>
      <c r="E11" t="s">
        <v>12</v>
      </c>
      <c r="F11">
        <v>1</v>
      </c>
      <c r="G11">
        <v>1</v>
      </c>
      <c r="H11">
        <v>0</v>
      </c>
      <c r="I11">
        <v>0</v>
      </c>
      <c r="J11">
        <f>F11-H11</f>
        <v>1</v>
      </c>
      <c r="K11">
        <f>G11-I11</f>
        <v>1</v>
      </c>
    </row>
    <row r="12" spans="1:11" x14ac:dyDescent="0.55000000000000004">
      <c r="A12" t="str">
        <f>B12&amp;C12&amp;D12&amp;E12</f>
        <v>파워링크모바일-회원가입</v>
      </c>
      <c r="B12" t="s">
        <v>21</v>
      </c>
      <c r="C12" t="s">
        <v>17</v>
      </c>
      <c r="D12" t="s">
        <v>26</v>
      </c>
      <c r="E12" t="s">
        <v>12</v>
      </c>
      <c r="F12">
        <v>1</v>
      </c>
      <c r="G12">
        <v>1</v>
      </c>
      <c r="H12">
        <v>0</v>
      </c>
      <c r="I12">
        <v>0</v>
      </c>
      <c r="J12">
        <f>F12-H12</f>
        <v>1</v>
      </c>
      <c r="K12">
        <f>G12-I12</f>
        <v>1</v>
      </c>
    </row>
    <row r="13" spans="1:11" x14ac:dyDescent="0.55000000000000004">
      <c r="A13" t="str">
        <f>B13&amp;C13&amp;D13&amp;E13</f>
        <v>파워링크모바일연고대편입회원가입</v>
      </c>
      <c r="B13" t="s">
        <v>21</v>
      </c>
      <c r="C13" t="s">
        <v>17</v>
      </c>
      <c r="D13" t="s">
        <v>27</v>
      </c>
      <c r="E13" t="s">
        <v>12</v>
      </c>
      <c r="F13">
        <v>1</v>
      </c>
      <c r="G13">
        <v>1</v>
      </c>
      <c r="H13">
        <v>0</v>
      </c>
      <c r="I13">
        <v>0</v>
      </c>
      <c r="J13">
        <f>F13-H13</f>
        <v>1</v>
      </c>
      <c r="K13">
        <f>G13-I13</f>
        <v>1</v>
      </c>
    </row>
    <row r="14" spans="1:11" x14ac:dyDescent="0.55000000000000004">
      <c r="A14" t="str">
        <f>B14&amp;C14&amp;D14&amp;E14</f>
        <v>파워링크모바일편입인강회원가입</v>
      </c>
      <c r="B14" t="s">
        <v>21</v>
      </c>
      <c r="C14" t="s">
        <v>17</v>
      </c>
      <c r="D14" t="s">
        <v>28</v>
      </c>
      <c r="E14" t="s">
        <v>12</v>
      </c>
      <c r="F14">
        <v>1</v>
      </c>
      <c r="G14">
        <v>1</v>
      </c>
      <c r="H14">
        <v>0</v>
      </c>
      <c r="I14">
        <v>0</v>
      </c>
      <c r="J14">
        <f>F14-H14</f>
        <v>1</v>
      </c>
      <c r="K14">
        <f>G14-I14</f>
        <v>1</v>
      </c>
    </row>
    <row r="15" spans="1:11" x14ac:dyDescent="0.55000000000000004">
      <c r="A15" t="str">
        <f>B15&amp;C15&amp;D15&amp;E15</f>
        <v>브랜드검색/신제품검색PC김영편입신청 완료</v>
      </c>
      <c r="B15" t="s">
        <v>7</v>
      </c>
      <c r="C15" t="s">
        <v>8</v>
      </c>
      <c r="D15" t="s">
        <v>9</v>
      </c>
      <c r="E15" t="s">
        <v>11</v>
      </c>
      <c r="F15">
        <v>3</v>
      </c>
      <c r="G15">
        <v>0</v>
      </c>
      <c r="H15">
        <v>1</v>
      </c>
      <c r="I15">
        <v>0</v>
      </c>
      <c r="J15">
        <f>F15-H15</f>
        <v>2</v>
      </c>
      <c r="K15">
        <f>G15-I15</f>
        <v>0</v>
      </c>
    </row>
    <row r="16" spans="1:11" x14ac:dyDescent="0.55000000000000004">
      <c r="A16" t="str">
        <f>B16&amp;C16&amp;D16&amp;E16</f>
        <v>브랜드검색/신제품검색PC김영편입회원가입</v>
      </c>
      <c r="B16" t="s">
        <v>7</v>
      </c>
      <c r="C16" t="s">
        <v>8</v>
      </c>
      <c r="D16" t="s">
        <v>9</v>
      </c>
      <c r="E16" t="s">
        <v>12</v>
      </c>
      <c r="F16">
        <v>5</v>
      </c>
      <c r="G16">
        <v>0</v>
      </c>
      <c r="H16">
        <v>3</v>
      </c>
      <c r="I16">
        <v>0</v>
      </c>
      <c r="J16">
        <f>F16-H16</f>
        <v>2</v>
      </c>
      <c r="K16">
        <f>G16-I16</f>
        <v>0</v>
      </c>
    </row>
    <row r="17" spans="1:11" x14ac:dyDescent="0.55000000000000004">
      <c r="A17" t="str">
        <f>B17&amp;C17&amp;D17&amp;E17</f>
        <v>브랜드검색/신제품검색PC김영편입설명회신청 완료</v>
      </c>
      <c r="B17" t="s">
        <v>7</v>
      </c>
      <c r="C17" t="s">
        <v>8</v>
      </c>
      <c r="D17" t="s">
        <v>13</v>
      </c>
      <c r="E17" t="s">
        <v>11</v>
      </c>
      <c r="F17">
        <v>1</v>
      </c>
      <c r="G17">
        <v>0</v>
      </c>
      <c r="H17">
        <v>0</v>
      </c>
      <c r="I17">
        <v>0</v>
      </c>
      <c r="J17">
        <f>F17-H17</f>
        <v>1</v>
      </c>
      <c r="K17">
        <f>G17-I17</f>
        <v>0</v>
      </c>
    </row>
    <row r="18" spans="1:11" x14ac:dyDescent="0.55000000000000004">
      <c r="A18" t="str">
        <f>B18&amp;C18&amp;D18&amp;E18</f>
        <v>브랜드검색/신제품검색PC김영편입수원회원가입</v>
      </c>
      <c r="B18" t="s">
        <v>7</v>
      </c>
      <c r="C18" t="s">
        <v>8</v>
      </c>
      <c r="D18" t="s">
        <v>14</v>
      </c>
      <c r="E18" t="s">
        <v>12</v>
      </c>
      <c r="F18">
        <v>1</v>
      </c>
      <c r="G18">
        <v>0</v>
      </c>
      <c r="H18">
        <v>0</v>
      </c>
      <c r="I18">
        <v>0</v>
      </c>
      <c r="J18">
        <f>F18-H18</f>
        <v>1</v>
      </c>
      <c r="K18">
        <f>G18-I18</f>
        <v>0</v>
      </c>
    </row>
    <row r="19" spans="1:11" x14ac:dyDescent="0.55000000000000004">
      <c r="A19" t="str">
        <f>B19&amp;C19&amp;D19&amp;E19</f>
        <v>브랜드검색/신제품검색PC김영편입인강회원가입</v>
      </c>
      <c r="B19" t="s">
        <v>7</v>
      </c>
      <c r="C19" t="s">
        <v>8</v>
      </c>
      <c r="D19" t="s">
        <v>15</v>
      </c>
      <c r="E19" t="s">
        <v>12</v>
      </c>
      <c r="F19">
        <v>2</v>
      </c>
      <c r="G19">
        <v>0</v>
      </c>
      <c r="H19">
        <v>0</v>
      </c>
      <c r="I19">
        <v>0</v>
      </c>
      <c r="J19">
        <f>F19-H19</f>
        <v>2</v>
      </c>
      <c r="K19">
        <f>G19-I19</f>
        <v>0</v>
      </c>
    </row>
    <row r="20" spans="1:11" x14ac:dyDescent="0.55000000000000004">
      <c r="A20" t="str">
        <f>B20&amp;C20&amp;D20&amp;E20</f>
        <v>브랜드검색/신제품검색PC김영편입학원신청 완료</v>
      </c>
      <c r="B20" t="s">
        <v>7</v>
      </c>
      <c r="C20" t="s">
        <v>8</v>
      </c>
      <c r="D20" t="s">
        <v>16</v>
      </c>
      <c r="E20" t="s">
        <v>11</v>
      </c>
      <c r="F20">
        <v>2</v>
      </c>
      <c r="G20">
        <v>0</v>
      </c>
      <c r="H20">
        <v>0</v>
      </c>
      <c r="I20">
        <v>0</v>
      </c>
      <c r="J20">
        <f>F20-H20</f>
        <v>2</v>
      </c>
      <c r="K20">
        <f>G20-I20</f>
        <v>0</v>
      </c>
    </row>
    <row r="21" spans="1:11" x14ac:dyDescent="0.55000000000000004">
      <c r="A21" t="str">
        <f>B21&amp;C21&amp;D21&amp;E21</f>
        <v>브랜드검색/신제품검색PC김영편입학원회원가입</v>
      </c>
      <c r="B21" t="s">
        <v>7</v>
      </c>
      <c r="C21" t="s">
        <v>8</v>
      </c>
      <c r="D21" t="s">
        <v>16</v>
      </c>
      <c r="E21" t="s">
        <v>12</v>
      </c>
      <c r="F21">
        <v>1</v>
      </c>
      <c r="G21">
        <v>0</v>
      </c>
      <c r="H21">
        <v>0</v>
      </c>
      <c r="I21">
        <v>0</v>
      </c>
      <c r="J21">
        <f>F21-H21</f>
        <v>1</v>
      </c>
      <c r="K21">
        <f>G21-I21</f>
        <v>0</v>
      </c>
    </row>
    <row r="22" spans="1:11" x14ac:dyDescent="0.55000000000000004">
      <c r="A22" t="str">
        <f>B22&amp;C22&amp;D22&amp;E22</f>
        <v>브랜드검색/신제품검색모바일김영편입강남신청 완료</v>
      </c>
      <c r="B22" t="s">
        <v>7</v>
      </c>
      <c r="C22" t="s">
        <v>17</v>
      </c>
      <c r="D22" t="s">
        <v>19</v>
      </c>
      <c r="E22" t="s">
        <v>11</v>
      </c>
      <c r="F22">
        <v>1</v>
      </c>
      <c r="G22">
        <v>0</v>
      </c>
      <c r="H22">
        <v>0</v>
      </c>
      <c r="I22">
        <v>0</v>
      </c>
      <c r="J22">
        <f>F22-H22</f>
        <v>1</v>
      </c>
      <c r="K22">
        <f>G22-I22</f>
        <v>0</v>
      </c>
    </row>
    <row r="23" spans="1:11" x14ac:dyDescent="0.55000000000000004">
      <c r="A23" t="str">
        <f>B23&amp;C23&amp;D23&amp;E23</f>
        <v>브랜드검색/신제품검색모바일김영편입부평구매완료</v>
      </c>
      <c r="B23" t="s">
        <v>7</v>
      </c>
      <c r="C23" t="s">
        <v>17</v>
      </c>
      <c r="D23" t="s">
        <v>20</v>
      </c>
      <c r="E23" t="s">
        <v>10</v>
      </c>
      <c r="F23">
        <v>1</v>
      </c>
      <c r="G23">
        <v>0</v>
      </c>
      <c r="H23">
        <v>0</v>
      </c>
      <c r="I23">
        <v>0</v>
      </c>
      <c r="J23">
        <f>F23-H23</f>
        <v>1</v>
      </c>
      <c r="K23">
        <f>G23-I23</f>
        <v>0</v>
      </c>
    </row>
    <row r="24" spans="1:11" x14ac:dyDescent="0.55000000000000004">
      <c r="A24" t="str">
        <f>B24&amp;C24&amp;D24&amp;E24</f>
        <v>파워링크PC김영편입신촌회원가입</v>
      </c>
      <c r="B24" t="s">
        <v>21</v>
      </c>
      <c r="C24" t="s">
        <v>8</v>
      </c>
      <c r="D24" t="s">
        <v>22</v>
      </c>
      <c r="E24" t="s">
        <v>12</v>
      </c>
      <c r="F24">
        <v>1</v>
      </c>
      <c r="G24">
        <v>0</v>
      </c>
      <c r="H24">
        <v>0</v>
      </c>
      <c r="I24">
        <v>0</v>
      </c>
      <c r="J24">
        <f>F24-H24</f>
        <v>1</v>
      </c>
      <c r="K24">
        <f>G24-I24</f>
        <v>0</v>
      </c>
    </row>
    <row r="25" spans="1:11" x14ac:dyDescent="0.55000000000000004">
      <c r="A25" t="str">
        <f>B25&amp;C25&amp;D25&amp;E25</f>
        <v>파워링크PC편입학원회원가입</v>
      </c>
      <c r="B25" t="s">
        <v>21</v>
      </c>
      <c r="C25" t="s">
        <v>8</v>
      </c>
      <c r="D25" t="s">
        <v>25</v>
      </c>
      <c r="E25" t="s">
        <v>12</v>
      </c>
      <c r="F25">
        <v>1</v>
      </c>
      <c r="G25">
        <v>0</v>
      </c>
      <c r="H25">
        <v>0</v>
      </c>
      <c r="I25">
        <v>0</v>
      </c>
      <c r="J25">
        <f>F25-H25</f>
        <v>1</v>
      </c>
      <c r="K25">
        <f>G25-I25</f>
        <v>0</v>
      </c>
    </row>
    <row r="26" spans="1:11" x14ac:dyDescent="0.55000000000000004">
      <c r="A26" t="str">
        <f>B26&amp;C26&amp;D26&amp;E26</f>
        <v>파워링크PC김영편입구매완료</v>
      </c>
      <c r="B26" t="s">
        <v>21</v>
      </c>
      <c r="C26" t="s">
        <v>8</v>
      </c>
      <c r="D26" t="s">
        <v>9</v>
      </c>
      <c r="E26" t="s">
        <v>10</v>
      </c>
      <c r="F26">
        <v>2</v>
      </c>
      <c r="G26">
        <v>49000</v>
      </c>
      <c r="H26">
        <v>4</v>
      </c>
      <c r="I26">
        <v>909300</v>
      </c>
      <c r="J26">
        <f>F26-H26</f>
        <v>-2</v>
      </c>
      <c r="K26">
        <f>G26-I26</f>
        <v>-860300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C872-C0F7-4BBD-9C3C-06695B9CB104}">
  <dimension ref="A1:K20"/>
  <sheetViews>
    <sheetView tabSelected="1" workbookViewId="0"/>
  </sheetViews>
  <sheetFormatPr defaultRowHeight="17.600000000000001" x14ac:dyDescent="0.55000000000000004"/>
  <cols>
    <col min="2" max="2" width="11.78515625" customWidth="1"/>
    <col min="4" max="4" width="16.42578125" bestFit="1" customWidth="1"/>
    <col min="11" max="11" width="9.78515625" bestFit="1" customWidth="1"/>
  </cols>
  <sheetData>
    <row r="1" spans="1:11" x14ac:dyDescent="0.55000000000000004">
      <c r="B1" t="s">
        <v>40</v>
      </c>
    </row>
    <row r="2" spans="1:11" x14ac:dyDescent="0.5500000000000000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39</v>
      </c>
      <c r="I2" t="s">
        <v>38</v>
      </c>
      <c r="J2" t="s">
        <v>31</v>
      </c>
      <c r="K2" t="s">
        <v>32</v>
      </c>
    </row>
    <row r="3" spans="1:11" x14ac:dyDescent="0.55000000000000004">
      <c r="A3" t="str">
        <f>B3&amp;C3&amp;D3&amp;E3</f>
        <v>파워링크PC김영편입구매완료</v>
      </c>
      <c r="B3" t="s">
        <v>21</v>
      </c>
      <c r="C3" t="s">
        <v>8</v>
      </c>
      <c r="D3" t="s">
        <v>9</v>
      </c>
      <c r="E3" t="s">
        <v>10</v>
      </c>
      <c r="F3" s="1">
        <v>4</v>
      </c>
      <c r="G3" s="1">
        <v>909300</v>
      </c>
      <c r="H3" s="1">
        <v>2</v>
      </c>
      <c r="I3" s="1">
        <v>49000</v>
      </c>
      <c r="J3" s="1">
        <f>F3-H3</f>
        <v>2</v>
      </c>
      <c r="K3" s="1">
        <f>G3-I3</f>
        <v>860300</v>
      </c>
    </row>
    <row r="4" spans="1:11" x14ac:dyDescent="0.55000000000000004">
      <c r="A4" t="str">
        <f>B4&amp;C4&amp;D4&amp;E4</f>
        <v>파워링크PC백은영구매완료</v>
      </c>
      <c r="B4" t="s">
        <v>21</v>
      </c>
      <c r="C4" t="s">
        <v>8</v>
      </c>
      <c r="D4" t="s">
        <v>37</v>
      </c>
      <c r="E4" t="s">
        <v>10</v>
      </c>
      <c r="F4" s="1">
        <v>1</v>
      </c>
      <c r="G4" s="1">
        <v>338300</v>
      </c>
      <c r="H4" s="1">
        <v>0</v>
      </c>
      <c r="I4" s="1">
        <v>0</v>
      </c>
      <c r="J4" s="1">
        <f>F4-H4</f>
        <v>1</v>
      </c>
      <c r="K4" s="1">
        <f>G4-I4</f>
        <v>338300</v>
      </c>
    </row>
    <row r="5" spans="1:11" x14ac:dyDescent="0.55000000000000004">
      <c r="A5" t="str">
        <f>B5&amp;C5&amp;D5&amp;E5</f>
        <v>파워링크모바일김영편입인강구매완료</v>
      </c>
      <c r="B5" t="s">
        <v>21</v>
      </c>
      <c r="C5" t="s">
        <v>17</v>
      </c>
      <c r="D5" t="s">
        <v>15</v>
      </c>
      <c r="E5" t="s">
        <v>10</v>
      </c>
      <c r="F5" s="1">
        <v>3</v>
      </c>
      <c r="G5" s="1">
        <v>90000</v>
      </c>
      <c r="H5" s="1">
        <v>0</v>
      </c>
      <c r="I5" s="1">
        <v>0</v>
      </c>
      <c r="J5" s="1">
        <f>F5-H5</f>
        <v>3</v>
      </c>
      <c r="K5" s="1">
        <f>G5-I5</f>
        <v>90000</v>
      </c>
    </row>
    <row r="6" spans="1:11" x14ac:dyDescent="0.55000000000000004">
      <c r="A6" t="str">
        <f>B6&amp;C6&amp;D6&amp;E6</f>
        <v>파워링크PC김영패스구매완료</v>
      </c>
      <c r="B6" t="s">
        <v>21</v>
      </c>
      <c r="C6" t="s">
        <v>8</v>
      </c>
      <c r="D6" t="s">
        <v>18</v>
      </c>
      <c r="E6" t="s">
        <v>10</v>
      </c>
      <c r="F6" s="1">
        <v>1</v>
      </c>
      <c r="G6" s="1">
        <v>73000</v>
      </c>
      <c r="H6" s="1">
        <v>0</v>
      </c>
      <c r="I6" s="1">
        <v>0</v>
      </c>
      <c r="J6" s="1">
        <f>F6-H6</f>
        <v>1</v>
      </c>
      <c r="K6" s="1">
        <f>G6-I6</f>
        <v>73000</v>
      </c>
    </row>
    <row r="7" spans="1:11" x14ac:dyDescent="0.55000000000000004">
      <c r="A7" t="str">
        <f>B7&amp;C7&amp;D7&amp;E7</f>
        <v>브랜드검색/신제품검색PC김영패스구매완료</v>
      </c>
      <c r="B7" t="s">
        <v>7</v>
      </c>
      <c r="C7" t="s">
        <v>8</v>
      </c>
      <c r="D7" t="s">
        <v>18</v>
      </c>
      <c r="E7" t="s">
        <v>10</v>
      </c>
      <c r="F7" s="1">
        <v>1</v>
      </c>
      <c r="G7" s="1">
        <v>65000</v>
      </c>
      <c r="H7" s="1">
        <v>0</v>
      </c>
      <c r="I7" s="1">
        <v>0</v>
      </c>
      <c r="J7" s="1">
        <f>F7-H7</f>
        <v>1</v>
      </c>
      <c r="K7" s="1">
        <f>G7-I7</f>
        <v>65000</v>
      </c>
    </row>
    <row r="8" spans="1:11" x14ac:dyDescent="0.55000000000000004">
      <c r="A8" t="str">
        <f>B8&amp;C8&amp;D8&amp;E8</f>
        <v>브랜드검색/신제품검색모바일김영편입인강회원가입</v>
      </c>
      <c r="B8" t="s">
        <v>7</v>
      </c>
      <c r="C8" t="s">
        <v>17</v>
      </c>
      <c r="D8" t="s">
        <v>15</v>
      </c>
      <c r="E8" t="s">
        <v>12</v>
      </c>
      <c r="F8" s="1">
        <v>2</v>
      </c>
      <c r="G8" s="1">
        <v>2</v>
      </c>
      <c r="H8" s="1">
        <v>0</v>
      </c>
      <c r="I8" s="1">
        <v>0</v>
      </c>
      <c r="J8" s="1">
        <f>F8-H8</f>
        <v>2</v>
      </c>
      <c r="K8" s="1">
        <f>G8-I8</f>
        <v>2</v>
      </c>
    </row>
    <row r="9" spans="1:11" x14ac:dyDescent="0.55000000000000004">
      <c r="A9" t="str">
        <f>B9&amp;C9&amp;D9&amp;E9</f>
        <v>브랜드검색/신제품검색모바일김영편입수원회원가입</v>
      </c>
      <c r="B9" t="s">
        <v>7</v>
      </c>
      <c r="C9" t="s">
        <v>17</v>
      </c>
      <c r="D9" t="s">
        <v>14</v>
      </c>
      <c r="E9" t="s">
        <v>12</v>
      </c>
      <c r="F9" s="1">
        <v>1</v>
      </c>
      <c r="G9" s="1">
        <v>1</v>
      </c>
      <c r="H9" s="1">
        <v>0</v>
      </c>
      <c r="I9" s="1">
        <v>0</v>
      </c>
      <c r="J9" s="1">
        <f>F9-H9</f>
        <v>1</v>
      </c>
      <c r="K9" s="1">
        <f>G9-I9</f>
        <v>1</v>
      </c>
    </row>
    <row r="10" spans="1:11" x14ac:dyDescent="0.55000000000000004">
      <c r="A10" t="str">
        <f>B10&amp;C10&amp;D10&amp;E10</f>
        <v>브랜드검색/신제품검색PC김영편입신청 완료</v>
      </c>
      <c r="B10" t="s">
        <v>7</v>
      </c>
      <c r="C10" t="s">
        <v>8</v>
      </c>
      <c r="D10" t="s">
        <v>9</v>
      </c>
      <c r="E10" t="s">
        <v>11</v>
      </c>
      <c r="F10" s="1">
        <v>1</v>
      </c>
      <c r="G10" s="1">
        <v>0</v>
      </c>
      <c r="H10" s="1">
        <v>3</v>
      </c>
      <c r="I10" s="1">
        <v>0</v>
      </c>
      <c r="J10" s="1">
        <f>F10-H10</f>
        <v>-2</v>
      </c>
      <c r="K10" s="1">
        <f>G10-I10</f>
        <v>0</v>
      </c>
    </row>
    <row r="11" spans="1:11" x14ac:dyDescent="0.55000000000000004">
      <c r="A11" t="str">
        <f>B11&amp;C11&amp;D11&amp;E11</f>
        <v>브랜드검색/신제품검색PC김영편입회원가입</v>
      </c>
      <c r="B11" t="s">
        <v>7</v>
      </c>
      <c r="C11" t="s">
        <v>8</v>
      </c>
      <c r="D11" t="s">
        <v>9</v>
      </c>
      <c r="E11" t="s">
        <v>12</v>
      </c>
      <c r="F11" s="1">
        <v>3</v>
      </c>
      <c r="G11" s="1">
        <v>0</v>
      </c>
      <c r="H11" s="1">
        <v>5</v>
      </c>
      <c r="I11" s="1">
        <v>0</v>
      </c>
      <c r="J11" s="1">
        <f>F11-H11</f>
        <v>-2</v>
      </c>
      <c r="K11" s="1">
        <f>G11-I11</f>
        <v>0</v>
      </c>
    </row>
    <row r="12" spans="1:11" x14ac:dyDescent="0.55000000000000004">
      <c r="A12" t="str">
        <f>B12&amp;C12&amp;D12&amp;E12</f>
        <v>브랜드검색/신제품검색모바일김영편입신청 완료</v>
      </c>
      <c r="B12" t="s">
        <v>7</v>
      </c>
      <c r="C12" t="s">
        <v>17</v>
      </c>
      <c r="D12" t="s">
        <v>9</v>
      </c>
      <c r="E12" t="s">
        <v>11</v>
      </c>
      <c r="F12" s="1">
        <v>4</v>
      </c>
      <c r="G12" s="1">
        <v>0</v>
      </c>
      <c r="H12" s="1">
        <v>0</v>
      </c>
      <c r="I12" s="1">
        <v>0</v>
      </c>
      <c r="J12" s="1">
        <f>F12-H12</f>
        <v>4</v>
      </c>
      <c r="K12" s="1">
        <f>G12-I12</f>
        <v>0</v>
      </c>
    </row>
    <row r="13" spans="1:11" x14ac:dyDescent="0.55000000000000004">
      <c r="A13" t="str">
        <f>B13&amp;C13&amp;D13&amp;E13</f>
        <v>브랜드검색/신제품검색모바일김영편입패스구매완료</v>
      </c>
      <c r="B13" t="s">
        <v>7</v>
      </c>
      <c r="C13" t="s">
        <v>17</v>
      </c>
      <c r="D13" t="s">
        <v>36</v>
      </c>
      <c r="E13" t="s">
        <v>10</v>
      </c>
      <c r="F13" s="1">
        <v>2</v>
      </c>
      <c r="G13" s="1">
        <v>0</v>
      </c>
      <c r="H13" s="1">
        <v>0</v>
      </c>
      <c r="I13" s="1">
        <v>0</v>
      </c>
      <c r="J13" s="1">
        <f>F13-H13</f>
        <v>2</v>
      </c>
      <c r="K13" s="1">
        <f>G13-I13</f>
        <v>0</v>
      </c>
    </row>
    <row r="14" spans="1:11" x14ac:dyDescent="0.55000000000000004">
      <c r="A14" t="str">
        <f>B14&amp;C14&amp;D14&amp;E14</f>
        <v>파워링크PC-회원가입</v>
      </c>
      <c r="B14" t="s">
        <v>21</v>
      </c>
      <c r="C14" t="s">
        <v>8</v>
      </c>
      <c r="D14" t="s">
        <v>26</v>
      </c>
      <c r="E14" t="s">
        <v>12</v>
      </c>
      <c r="F14" s="1">
        <v>3</v>
      </c>
      <c r="G14" s="1">
        <v>0</v>
      </c>
      <c r="H14" s="1">
        <v>0</v>
      </c>
      <c r="I14" s="1">
        <v>0</v>
      </c>
      <c r="J14" s="1">
        <f>F14-H14</f>
        <v>3</v>
      </c>
      <c r="K14" s="1">
        <f>G14-I14</f>
        <v>0</v>
      </c>
    </row>
    <row r="15" spans="1:11" x14ac:dyDescent="0.55000000000000004">
      <c r="A15" t="str">
        <f>B15&amp;C15&amp;D15&amp;E15</f>
        <v>파워링크PC약대편입회원가입</v>
      </c>
      <c r="B15" t="s">
        <v>21</v>
      </c>
      <c r="C15" t="s">
        <v>8</v>
      </c>
      <c r="D15" t="s">
        <v>35</v>
      </c>
      <c r="E15" t="s">
        <v>12</v>
      </c>
      <c r="F15" s="1">
        <v>2</v>
      </c>
      <c r="G15" s="1">
        <v>0</v>
      </c>
      <c r="H15" s="1">
        <v>0</v>
      </c>
      <c r="I15" s="1">
        <v>0</v>
      </c>
      <c r="J15" s="1">
        <f>F15-H15</f>
        <v>2</v>
      </c>
      <c r="K15" s="1">
        <f>G15-I15</f>
        <v>0</v>
      </c>
    </row>
    <row r="16" spans="1:11" x14ac:dyDescent="0.55000000000000004">
      <c r="A16" t="str">
        <f>B16&amp;C16&amp;D16&amp;E16</f>
        <v>파워링크모바일김영편입여름방학신청 완료</v>
      </c>
      <c r="B16" t="s">
        <v>21</v>
      </c>
      <c r="C16" t="s">
        <v>17</v>
      </c>
      <c r="D16" t="s">
        <v>34</v>
      </c>
      <c r="E16" t="s">
        <v>11</v>
      </c>
      <c r="F16" s="1">
        <v>2</v>
      </c>
      <c r="G16" s="1">
        <v>0</v>
      </c>
      <c r="H16" s="1">
        <v>0</v>
      </c>
      <c r="I16" s="1">
        <v>0</v>
      </c>
      <c r="J16" s="1">
        <f>F16-H16</f>
        <v>2</v>
      </c>
      <c r="K16" s="1">
        <f>G16-I16</f>
        <v>0</v>
      </c>
    </row>
    <row r="17" spans="1:11" x14ac:dyDescent="0.55000000000000004">
      <c r="A17" t="str">
        <f>B17&amp;C17&amp;D17&amp;E17</f>
        <v>파워링크모바일편입신청 완료</v>
      </c>
      <c r="B17" t="s">
        <v>21</v>
      </c>
      <c r="C17" t="s">
        <v>17</v>
      </c>
      <c r="D17" t="s">
        <v>33</v>
      </c>
      <c r="E17" t="s">
        <v>11</v>
      </c>
      <c r="F17" s="1">
        <v>2</v>
      </c>
      <c r="G17" s="1">
        <v>0</v>
      </c>
      <c r="H17" s="1">
        <v>0</v>
      </c>
      <c r="I17" s="1">
        <v>0</v>
      </c>
      <c r="J17" s="1">
        <f>F17-H17</f>
        <v>2</v>
      </c>
      <c r="K17" s="1">
        <f>G17-I17</f>
        <v>0</v>
      </c>
    </row>
    <row r="18" spans="1:11" x14ac:dyDescent="0.55000000000000004">
      <c r="A18" t="str">
        <f>B18&amp;C18&amp;D18&amp;E18</f>
        <v>브랜드검색/신제품검색모바일김영편입회원가입</v>
      </c>
      <c r="B18" t="s">
        <v>7</v>
      </c>
      <c r="C18" t="s">
        <v>17</v>
      </c>
      <c r="D18" t="s">
        <v>9</v>
      </c>
      <c r="E18" t="s">
        <v>12</v>
      </c>
      <c r="F18" s="1">
        <v>6</v>
      </c>
      <c r="G18" s="1">
        <v>6</v>
      </c>
      <c r="H18" s="1">
        <v>9</v>
      </c>
      <c r="I18" s="1">
        <v>7</v>
      </c>
      <c r="J18" s="1">
        <f>F18-H18</f>
        <v>-3</v>
      </c>
      <c r="K18" s="1">
        <f>G18-I18</f>
        <v>-1</v>
      </c>
    </row>
    <row r="19" spans="1:11" x14ac:dyDescent="0.55000000000000004">
      <c r="A19" t="str">
        <f>B19&amp;C19&amp;D19&amp;E19</f>
        <v>브랜드검색/신제품검색모바일김영편입구매완료</v>
      </c>
      <c r="B19" t="s">
        <v>7</v>
      </c>
      <c r="C19" t="s">
        <v>17</v>
      </c>
      <c r="D19" t="s">
        <v>9</v>
      </c>
      <c r="E19" t="s">
        <v>10</v>
      </c>
      <c r="F19" s="1">
        <v>24</v>
      </c>
      <c r="G19" s="1">
        <v>2241500</v>
      </c>
      <c r="H19" s="1">
        <v>45</v>
      </c>
      <c r="I19" s="1">
        <v>3165400</v>
      </c>
      <c r="J19" s="1">
        <f>F19-H19</f>
        <v>-21</v>
      </c>
      <c r="K19" s="1">
        <f>G19-I19</f>
        <v>-923900</v>
      </c>
    </row>
    <row r="20" spans="1:11" x14ac:dyDescent="0.55000000000000004">
      <c r="A20" t="str">
        <f>B20&amp;C20&amp;D20&amp;E20</f>
        <v>브랜드검색/신제품검색PC김영편입구매완료</v>
      </c>
      <c r="B20" t="s">
        <v>7</v>
      </c>
      <c r="C20" t="s">
        <v>8</v>
      </c>
      <c r="D20" t="s">
        <v>9</v>
      </c>
      <c r="E20" t="s">
        <v>10</v>
      </c>
      <c r="F20" s="1">
        <v>8</v>
      </c>
      <c r="G20" s="1">
        <v>317000</v>
      </c>
      <c r="H20" s="1">
        <v>13</v>
      </c>
      <c r="I20" s="1">
        <v>3927000</v>
      </c>
      <c r="J20" s="1">
        <f>F20-H20</f>
        <v>-5</v>
      </c>
      <c r="K20" s="1">
        <f>G20-I20</f>
        <v>-3610000</v>
      </c>
    </row>
  </sheetData>
  <autoFilter ref="A2:K2" xr:uid="{34313C69-6E27-486A-8F59-31EEB7D97DB4}">
    <sortState xmlns:xlrd2="http://schemas.microsoft.com/office/spreadsheetml/2017/richdata2" ref="A3:K20">
      <sortCondition descending="1" ref="K2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16일</vt:lpstr>
      <vt:lpstr>23일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한승예</dc:creator>
  <cp:lastModifiedBy>승예 한</cp:lastModifiedBy>
  <dcterms:created xsi:type="dcterms:W3CDTF">2026-05-24T07:50:54Z</dcterms:created>
  <dcterms:modified xsi:type="dcterms:W3CDTF">2026-05-24T07:50:54Z</dcterms:modified>
</cp:coreProperties>
</file>